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hidePivotFieldList="1"/>
  <workbookProtection workbookPassword="C9EC" lockStructure="1"/>
  <bookViews>
    <workbookView xWindow="-120" yWindow="-120" windowWidth="20610" windowHeight="11040" activeTab="3"/>
  </bookViews>
  <sheets>
    <sheet name="Planilha_Original" sheetId="6" r:id="rId1"/>
    <sheet name="Análise" sheetId="5" r:id="rId2"/>
    <sheet name="Tabela_Dinâmica" sheetId="7" r:id="rId3"/>
    <sheet name="Dashboard" sheetId="8" r:id="rId4"/>
    <sheet name="Relatório" sheetId="12" r:id="rId5"/>
  </sheets>
  <definedNames>
    <definedName name="_xlnm._FilterDatabase" localSheetId="1" hidden="1">Análise!$A$1:$N$296</definedName>
    <definedName name="_xlnm._FilterDatabase" localSheetId="0" hidden="1">Planilha_Original!$A$1:$M$296</definedName>
    <definedName name="SegmentaçãodeDados_Mês">#N/A</definedName>
    <definedName name="SegmentaçãodeDados_Mês1">#N/A</definedName>
  </definedNames>
  <calcPr calcId="145621"/>
  <pivotCaches>
    <pivotCache cacheId="25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" i="7" l="1"/>
  <c r="B3" i="7"/>
  <c r="D3" i="7"/>
  <c r="R3" i="5" l="1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" i="5"/>
  <c r="Q296" i="5" l="1"/>
  <c r="O296" i="5"/>
  <c r="E296" i="5"/>
  <c r="Q295" i="5"/>
  <c r="O295" i="5"/>
  <c r="E295" i="5"/>
  <c r="Q294" i="5"/>
  <c r="O294" i="5"/>
  <c r="E294" i="5"/>
  <c r="Q293" i="5"/>
  <c r="O293" i="5"/>
  <c r="E293" i="5"/>
  <c r="Q292" i="5"/>
  <c r="O292" i="5"/>
  <c r="E292" i="5"/>
  <c r="Q291" i="5"/>
  <c r="O291" i="5"/>
  <c r="E291" i="5"/>
  <c r="Q290" i="5"/>
  <c r="O290" i="5"/>
  <c r="E290" i="5"/>
  <c r="Q289" i="5"/>
  <c r="O289" i="5"/>
  <c r="E289" i="5"/>
  <c r="Q288" i="5"/>
  <c r="O288" i="5"/>
  <c r="E288" i="5"/>
  <c r="Q287" i="5"/>
  <c r="O287" i="5"/>
  <c r="E287" i="5"/>
  <c r="Q286" i="5"/>
  <c r="O286" i="5"/>
  <c r="E286" i="5"/>
  <c r="Q285" i="5"/>
  <c r="O285" i="5"/>
  <c r="E285" i="5"/>
  <c r="Q284" i="5"/>
  <c r="O284" i="5"/>
  <c r="E284" i="5"/>
  <c r="Q283" i="5"/>
  <c r="O283" i="5"/>
  <c r="E283" i="5"/>
  <c r="Q282" i="5"/>
  <c r="O282" i="5"/>
  <c r="E282" i="5"/>
  <c r="Q281" i="5"/>
  <c r="O281" i="5"/>
  <c r="E281" i="5"/>
  <c r="Q280" i="5"/>
  <c r="O280" i="5"/>
  <c r="E280" i="5"/>
  <c r="Q279" i="5"/>
  <c r="O279" i="5"/>
  <c r="E279" i="5"/>
  <c r="Q278" i="5"/>
  <c r="O278" i="5"/>
  <c r="E278" i="5"/>
  <c r="Q277" i="5"/>
  <c r="O277" i="5"/>
  <c r="E277" i="5"/>
  <c r="Q276" i="5"/>
  <c r="O276" i="5"/>
  <c r="E276" i="5"/>
  <c r="Q275" i="5"/>
  <c r="O275" i="5"/>
  <c r="E275" i="5"/>
  <c r="Q274" i="5"/>
  <c r="O274" i="5"/>
  <c r="E274" i="5"/>
  <c r="Q273" i="5"/>
  <c r="O273" i="5"/>
  <c r="E273" i="5"/>
  <c r="Q272" i="5"/>
  <c r="O272" i="5"/>
  <c r="E272" i="5"/>
  <c r="Q271" i="5"/>
  <c r="O271" i="5"/>
  <c r="E271" i="5"/>
  <c r="Q270" i="5"/>
  <c r="O270" i="5"/>
  <c r="E270" i="5"/>
  <c r="Q269" i="5"/>
  <c r="O269" i="5"/>
  <c r="E269" i="5"/>
  <c r="Q268" i="5"/>
  <c r="O268" i="5"/>
  <c r="E268" i="5"/>
  <c r="Q267" i="5"/>
  <c r="O267" i="5"/>
  <c r="E267" i="5"/>
  <c r="Q266" i="5"/>
  <c r="O266" i="5"/>
  <c r="E266" i="5"/>
  <c r="Q265" i="5"/>
  <c r="O265" i="5"/>
  <c r="E265" i="5"/>
  <c r="Q264" i="5"/>
  <c r="O264" i="5"/>
  <c r="E264" i="5"/>
  <c r="Q263" i="5"/>
  <c r="O263" i="5"/>
  <c r="E263" i="5"/>
  <c r="Q262" i="5"/>
  <c r="O262" i="5"/>
  <c r="E262" i="5"/>
  <c r="Q261" i="5"/>
  <c r="O261" i="5"/>
  <c r="E261" i="5"/>
  <c r="Q260" i="5"/>
  <c r="O260" i="5"/>
  <c r="E260" i="5"/>
  <c r="Q259" i="5"/>
  <c r="O259" i="5"/>
  <c r="E259" i="5"/>
  <c r="Q258" i="5"/>
  <c r="O258" i="5"/>
  <c r="E258" i="5"/>
  <c r="Q257" i="5"/>
  <c r="O257" i="5"/>
  <c r="E257" i="5"/>
  <c r="Q256" i="5"/>
  <c r="O256" i="5"/>
  <c r="E256" i="5"/>
  <c r="Q255" i="5"/>
  <c r="O255" i="5"/>
  <c r="E255" i="5"/>
  <c r="Q254" i="5"/>
  <c r="O254" i="5"/>
  <c r="E254" i="5"/>
  <c r="Q253" i="5"/>
  <c r="O253" i="5"/>
  <c r="E253" i="5"/>
  <c r="Q252" i="5"/>
  <c r="O252" i="5"/>
  <c r="E252" i="5"/>
  <c r="Q251" i="5"/>
  <c r="O251" i="5"/>
  <c r="E251" i="5"/>
  <c r="Q250" i="5"/>
  <c r="O250" i="5"/>
  <c r="E250" i="5"/>
  <c r="Q249" i="5"/>
  <c r="O249" i="5"/>
  <c r="E249" i="5"/>
  <c r="Q248" i="5"/>
  <c r="O248" i="5"/>
  <c r="E248" i="5"/>
  <c r="Q247" i="5"/>
  <c r="O247" i="5"/>
  <c r="E247" i="5"/>
  <c r="Q246" i="5"/>
  <c r="O246" i="5"/>
  <c r="E246" i="5"/>
  <c r="Q245" i="5"/>
  <c r="O245" i="5"/>
  <c r="E245" i="5"/>
  <c r="Q244" i="5"/>
  <c r="O244" i="5"/>
  <c r="E244" i="5"/>
  <c r="Q243" i="5"/>
  <c r="O243" i="5"/>
  <c r="E243" i="5"/>
  <c r="Q242" i="5"/>
  <c r="O242" i="5"/>
  <c r="E242" i="5"/>
  <c r="Q241" i="5"/>
  <c r="O241" i="5"/>
  <c r="E241" i="5"/>
  <c r="Q240" i="5"/>
  <c r="O240" i="5"/>
  <c r="E240" i="5"/>
  <c r="Q239" i="5"/>
  <c r="O239" i="5"/>
  <c r="E239" i="5"/>
  <c r="Q238" i="5"/>
  <c r="O238" i="5"/>
  <c r="E238" i="5"/>
  <c r="Q237" i="5"/>
  <c r="O237" i="5"/>
  <c r="E237" i="5"/>
  <c r="Q236" i="5"/>
  <c r="O236" i="5"/>
  <c r="E236" i="5"/>
  <c r="Q235" i="5"/>
  <c r="O235" i="5"/>
  <c r="E235" i="5"/>
  <c r="Q234" i="5"/>
  <c r="O234" i="5"/>
  <c r="E234" i="5"/>
  <c r="Q233" i="5"/>
  <c r="O233" i="5"/>
  <c r="E233" i="5"/>
  <c r="Q232" i="5"/>
  <c r="O232" i="5"/>
  <c r="E232" i="5"/>
  <c r="Q231" i="5"/>
  <c r="O231" i="5"/>
  <c r="E231" i="5"/>
  <c r="Q230" i="5"/>
  <c r="O230" i="5"/>
  <c r="E230" i="5"/>
  <c r="Q229" i="5"/>
  <c r="O229" i="5"/>
  <c r="E229" i="5"/>
  <c r="Q228" i="5"/>
  <c r="O228" i="5"/>
  <c r="E228" i="5"/>
  <c r="Q227" i="5"/>
  <c r="O227" i="5"/>
  <c r="E227" i="5"/>
  <c r="Q226" i="5"/>
  <c r="O226" i="5"/>
  <c r="E226" i="5"/>
  <c r="Q225" i="5"/>
  <c r="O225" i="5"/>
  <c r="E225" i="5"/>
  <c r="Q224" i="5"/>
  <c r="O224" i="5"/>
  <c r="E224" i="5"/>
  <c r="Q223" i="5"/>
  <c r="O223" i="5"/>
  <c r="E223" i="5"/>
  <c r="Q222" i="5"/>
  <c r="O222" i="5"/>
  <c r="E222" i="5"/>
  <c r="Q221" i="5"/>
  <c r="O221" i="5"/>
  <c r="E221" i="5"/>
  <c r="Q220" i="5"/>
  <c r="O220" i="5"/>
  <c r="E220" i="5"/>
  <c r="Q219" i="5"/>
  <c r="O219" i="5"/>
  <c r="E219" i="5"/>
  <c r="Q218" i="5"/>
  <c r="O218" i="5"/>
  <c r="E218" i="5"/>
  <c r="Q217" i="5"/>
  <c r="O217" i="5"/>
  <c r="E217" i="5"/>
  <c r="Q216" i="5"/>
  <c r="O216" i="5"/>
  <c r="E216" i="5"/>
  <c r="Q215" i="5"/>
  <c r="O215" i="5"/>
  <c r="E215" i="5"/>
  <c r="Q214" i="5"/>
  <c r="O214" i="5"/>
  <c r="E214" i="5"/>
  <c r="Q213" i="5"/>
  <c r="O213" i="5"/>
  <c r="E213" i="5"/>
  <c r="Q212" i="5"/>
  <c r="O212" i="5"/>
  <c r="E212" i="5"/>
  <c r="Q211" i="5"/>
  <c r="O211" i="5"/>
  <c r="E211" i="5"/>
  <c r="Q210" i="5"/>
  <c r="O210" i="5"/>
  <c r="E210" i="5"/>
  <c r="Q209" i="5"/>
  <c r="O209" i="5"/>
  <c r="E209" i="5"/>
  <c r="Q208" i="5"/>
  <c r="O208" i="5"/>
  <c r="E208" i="5"/>
  <c r="Q207" i="5"/>
  <c r="O207" i="5"/>
  <c r="E207" i="5"/>
  <c r="Q206" i="5"/>
  <c r="O206" i="5"/>
  <c r="E206" i="5"/>
  <c r="Q205" i="5"/>
  <c r="O205" i="5"/>
  <c r="E205" i="5"/>
  <c r="Q204" i="5"/>
  <c r="O204" i="5"/>
  <c r="E204" i="5"/>
  <c r="Q203" i="5"/>
  <c r="O203" i="5"/>
  <c r="E203" i="5"/>
  <c r="Q202" i="5"/>
  <c r="O202" i="5"/>
  <c r="E202" i="5"/>
  <c r="Q201" i="5"/>
  <c r="O201" i="5"/>
  <c r="E201" i="5"/>
  <c r="Q200" i="5"/>
  <c r="O200" i="5"/>
  <c r="E200" i="5"/>
  <c r="Q199" i="5"/>
  <c r="O199" i="5"/>
  <c r="E199" i="5"/>
  <c r="Q198" i="5"/>
  <c r="O198" i="5"/>
  <c r="E198" i="5"/>
  <c r="Q197" i="5"/>
  <c r="O197" i="5"/>
  <c r="E197" i="5"/>
  <c r="Q196" i="5"/>
  <c r="O196" i="5"/>
  <c r="E196" i="5"/>
  <c r="Q195" i="5"/>
  <c r="O195" i="5"/>
  <c r="E195" i="5"/>
  <c r="Q194" i="5"/>
  <c r="O194" i="5"/>
  <c r="E194" i="5"/>
  <c r="Q193" i="5"/>
  <c r="O193" i="5"/>
  <c r="E193" i="5"/>
  <c r="Q192" i="5"/>
  <c r="O192" i="5"/>
  <c r="E192" i="5"/>
  <c r="Q191" i="5"/>
  <c r="O191" i="5"/>
  <c r="E191" i="5"/>
  <c r="Q190" i="5"/>
  <c r="O190" i="5"/>
  <c r="E190" i="5"/>
  <c r="Q189" i="5"/>
  <c r="O189" i="5"/>
  <c r="E189" i="5"/>
  <c r="Q188" i="5"/>
  <c r="O188" i="5"/>
  <c r="E188" i="5"/>
  <c r="Q187" i="5"/>
  <c r="O187" i="5"/>
  <c r="E187" i="5"/>
  <c r="Q186" i="5"/>
  <c r="O186" i="5"/>
  <c r="E186" i="5"/>
  <c r="Q185" i="5"/>
  <c r="O185" i="5"/>
  <c r="E185" i="5"/>
  <c r="Q184" i="5"/>
  <c r="O184" i="5"/>
  <c r="E184" i="5"/>
  <c r="Q183" i="5"/>
  <c r="O183" i="5"/>
  <c r="E183" i="5"/>
  <c r="Q182" i="5"/>
  <c r="O182" i="5"/>
  <c r="E182" i="5"/>
  <c r="Q181" i="5"/>
  <c r="O181" i="5"/>
  <c r="E181" i="5"/>
  <c r="Q180" i="5"/>
  <c r="O180" i="5"/>
  <c r="E180" i="5"/>
  <c r="Q179" i="5"/>
  <c r="O179" i="5"/>
  <c r="E179" i="5"/>
  <c r="Q178" i="5"/>
  <c r="O178" i="5"/>
  <c r="E178" i="5"/>
  <c r="Q177" i="5"/>
  <c r="O177" i="5"/>
  <c r="E177" i="5"/>
  <c r="Q176" i="5"/>
  <c r="O176" i="5"/>
  <c r="E176" i="5"/>
  <c r="Q175" i="5"/>
  <c r="O175" i="5"/>
  <c r="E175" i="5"/>
  <c r="Q174" i="5"/>
  <c r="O174" i="5"/>
  <c r="E174" i="5"/>
  <c r="Q173" i="5"/>
  <c r="O173" i="5"/>
  <c r="E173" i="5"/>
  <c r="Q172" i="5"/>
  <c r="O172" i="5"/>
  <c r="E172" i="5"/>
  <c r="Q171" i="5"/>
  <c r="O171" i="5"/>
  <c r="E171" i="5"/>
  <c r="Q170" i="5"/>
  <c r="O170" i="5"/>
  <c r="E170" i="5"/>
  <c r="Q169" i="5"/>
  <c r="O169" i="5"/>
  <c r="E169" i="5"/>
  <c r="Q168" i="5"/>
  <c r="O168" i="5"/>
  <c r="E168" i="5"/>
  <c r="Q167" i="5"/>
  <c r="O167" i="5"/>
  <c r="E167" i="5"/>
  <c r="Q166" i="5"/>
  <c r="O166" i="5"/>
  <c r="E166" i="5"/>
  <c r="Q165" i="5"/>
  <c r="O165" i="5"/>
  <c r="E165" i="5"/>
  <c r="Q164" i="5"/>
  <c r="O164" i="5"/>
  <c r="E164" i="5"/>
  <c r="Q163" i="5"/>
  <c r="O163" i="5"/>
  <c r="E163" i="5"/>
  <c r="Q162" i="5"/>
  <c r="O162" i="5"/>
  <c r="E162" i="5"/>
  <c r="Q161" i="5"/>
  <c r="O161" i="5"/>
  <c r="E161" i="5"/>
  <c r="Q160" i="5"/>
  <c r="O160" i="5"/>
  <c r="E160" i="5"/>
  <c r="Q159" i="5"/>
  <c r="O159" i="5"/>
  <c r="E159" i="5"/>
  <c r="Q158" i="5"/>
  <c r="O158" i="5"/>
  <c r="E158" i="5"/>
  <c r="Q157" i="5"/>
  <c r="O157" i="5"/>
  <c r="E157" i="5"/>
  <c r="Q156" i="5"/>
  <c r="O156" i="5"/>
  <c r="E156" i="5"/>
  <c r="Q155" i="5"/>
  <c r="O155" i="5"/>
  <c r="E155" i="5"/>
  <c r="Q154" i="5"/>
  <c r="O154" i="5"/>
  <c r="E154" i="5"/>
  <c r="Q153" i="5"/>
  <c r="O153" i="5"/>
  <c r="E153" i="5"/>
  <c r="Q152" i="5"/>
  <c r="O152" i="5"/>
  <c r="E152" i="5"/>
  <c r="Q151" i="5"/>
  <c r="O151" i="5"/>
  <c r="E151" i="5"/>
  <c r="Q150" i="5"/>
  <c r="O150" i="5"/>
  <c r="E150" i="5"/>
  <c r="Q149" i="5"/>
  <c r="O149" i="5"/>
  <c r="E149" i="5"/>
  <c r="Q148" i="5"/>
  <c r="O148" i="5"/>
  <c r="E148" i="5"/>
  <c r="Q147" i="5"/>
  <c r="O147" i="5"/>
  <c r="E147" i="5"/>
  <c r="Q146" i="5"/>
  <c r="O146" i="5"/>
  <c r="E146" i="5"/>
  <c r="Q145" i="5"/>
  <c r="O145" i="5"/>
  <c r="E145" i="5"/>
  <c r="Q144" i="5"/>
  <c r="O144" i="5"/>
  <c r="E144" i="5"/>
  <c r="Q143" i="5"/>
  <c r="O143" i="5"/>
  <c r="E143" i="5"/>
  <c r="Q142" i="5"/>
  <c r="O142" i="5"/>
  <c r="E142" i="5"/>
  <c r="Q141" i="5"/>
  <c r="O141" i="5"/>
  <c r="E141" i="5"/>
  <c r="Q140" i="5"/>
  <c r="O140" i="5"/>
  <c r="E140" i="5"/>
  <c r="Q139" i="5"/>
  <c r="O139" i="5"/>
  <c r="E139" i="5"/>
  <c r="Q138" i="5"/>
  <c r="O138" i="5"/>
  <c r="E138" i="5"/>
  <c r="Q137" i="5"/>
  <c r="O137" i="5"/>
  <c r="E137" i="5"/>
  <c r="Q136" i="5"/>
  <c r="O136" i="5"/>
  <c r="E136" i="5"/>
  <c r="Q135" i="5"/>
  <c r="O135" i="5"/>
  <c r="E135" i="5"/>
  <c r="Q134" i="5"/>
  <c r="O134" i="5"/>
  <c r="E134" i="5"/>
  <c r="Q133" i="5"/>
  <c r="O133" i="5"/>
  <c r="E133" i="5"/>
  <c r="Q132" i="5"/>
  <c r="O132" i="5"/>
  <c r="E132" i="5"/>
  <c r="Q131" i="5"/>
  <c r="O131" i="5"/>
  <c r="E131" i="5"/>
  <c r="Q130" i="5"/>
  <c r="O130" i="5"/>
  <c r="E130" i="5"/>
  <c r="Q129" i="5"/>
  <c r="O129" i="5"/>
  <c r="E129" i="5"/>
  <c r="Q128" i="5"/>
  <c r="O128" i="5"/>
  <c r="E128" i="5"/>
  <c r="Q127" i="5"/>
  <c r="O127" i="5"/>
  <c r="E127" i="5"/>
  <c r="Q126" i="5"/>
  <c r="O126" i="5"/>
  <c r="E126" i="5"/>
  <c r="Q125" i="5"/>
  <c r="O125" i="5"/>
  <c r="E125" i="5"/>
  <c r="Q124" i="5"/>
  <c r="O124" i="5"/>
  <c r="E124" i="5"/>
  <c r="Q123" i="5"/>
  <c r="O123" i="5"/>
  <c r="E123" i="5"/>
  <c r="Q122" i="5"/>
  <c r="O122" i="5"/>
  <c r="E122" i="5"/>
  <c r="Q121" i="5"/>
  <c r="O121" i="5"/>
  <c r="E121" i="5"/>
  <c r="Q120" i="5"/>
  <c r="O120" i="5"/>
  <c r="E120" i="5"/>
  <c r="Q119" i="5"/>
  <c r="O119" i="5"/>
  <c r="E119" i="5"/>
  <c r="Q118" i="5"/>
  <c r="O118" i="5"/>
  <c r="E118" i="5"/>
  <c r="Q117" i="5"/>
  <c r="O117" i="5"/>
  <c r="E117" i="5"/>
  <c r="Q116" i="5"/>
  <c r="O116" i="5"/>
  <c r="E116" i="5"/>
  <c r="Q115" i="5"/>
  <c r="O115" i="5"/>
  <c r="E115" i="5"/>
  <c r="Q114" i="5"/>
  <c r="O114" i="5"/>
  <c r="E114" i="5"/>
  <c r="Q113" i="5"/>
  <c r="O113" i="5"/>
  <c r="E113" i="5"/>
  <c r="Q112" i="5"/>
  <c r="O112" i="5"/>
  <c r="E112" i="5"/>
  <c r="Q111" i="5"/>
  <c r="O111" i="5"/>
  <c r="E111" i="5"/>
  <c r="Q110" i="5"/>
  <c r="O110" i="5"/>
  <c r="E110" i="5"/>
  <c r="Q109" i="5"/>
  <c r="O109" i="5"/>
  <c r="E109" i="5"/>
  <c r="Q108" i="5"/>
  <c r="O108" i="5"/>
  <c r="E108" i="5"/>
  <c r="Q107" i="5"/>
  <c r="O107" i="5"/>
  <c r="E107" i="5"/>
  <c r="Q106" i="5"/>
  <c r="O106" i="5"/>
  <c r="E106" i="5"/>
  <c r="Q105" i="5"/>
  <c r="O105" i="5"/>
  <c r="E105" i="5"/>
  <c r="Q104" i="5"/>
  <c r="O104" i="5"/>
  <c r="E104" i="5"/>
  <c r="Q103" i="5"/>
  <c r="O103" i="5"/>
  <c r="E103" i="5"/>
  <c r="Q102" i="5"/>
  <c r="O102" i="5"/>
  <c r="E102" i="5"/>
  <c r="Q101" i="5"/>
  <c r="O101" i="5"/>
  <c r="E101" i="5"/>
  <c r="Q100" i="5"/>
  <c r="O100" i="5"/>
  <c r="E100" i="5"/>
  <c r="Q99" i="5"/>
  <c r="O99" i="5"/>
  <c r="E99" i="5"/>
  <c r="Q98" i="5"/>
  <c r="O98" i="5"/>
  <c r="E98" i="5"/>
  <c r="Q97" i="5"/>
  <c r="O97" i="5"/>
  <c r="E97" i="5"/>
  <c r="Q96" i="5"/>
  <c r="O96" i="5"/>
  <c r="E96" i="5"/>
  <c r="Q95" i="5"/>
  <c r="O95" i="5"/>
  <c r="E95" i="5"/>
  <c r="Q94" i="5"/>
  <c r="O94" i="5"/>
  <c r="E94" i="5"/>
  <c r="Q93" i="5"/>
  <c r="O93" i="5"/>
  <c r="E93" i="5"/>
  <c r="Q92" i="5"/>
  <c r="O92" i="5"/>
  <c r="E92" i="5"/>
  <c r="Q91" i="5"/>
  <c r="O91" i="5"/>
  <c r="E91" i="5"/>
  <c r="Q90" i="5"/>
  <c r="O90" i="5"/>
  <c r="E90" i="5"/>
  <c r="Q89" i="5"/>
  <c r="O89" i="5"/>
  <c r="E89" i="5"/>
  <c r="Q88" i="5"/>
  <c r="O88" i="5"/>
  <c r="E88" i="5"/>
  <c r="Q87" i="5"/>
  <c r="O87" i="5"/>
  <c r="E87" i="5"/>
  <c r="Q86" i="5"/>
  <c r="O86" i="5"/>
  <c r="E86" i="5"/>
  <c r="Q85" i="5"/>
  <c r="O85" i="5"/>
  <c r="E85" i="5"/>
  <c r="Q84" i="5"/>
  <c r="O84" i="5"/>
  <c r="E84" i="5"/>
  <c r="Q83" i="5"/>
  <c r="O83" i="5"/>
  <c r="E83" i="5"/>
  <c r="Q82" i="5"/>
  <c r="O82" i="5"/>
  <c r="E82" i="5"/>
  <c r="Q81" i="5"/>
  <c r="O81" i="5"/>
  <c r="E81" i="5"/>
  <c r="Q80" i="5"/>
  <c r="O80" i="5"/>
  <c r="E80" i="5"/>
  <c r="Q79" i="5"/>
  <c r="O79" i="5"/>
  <c r="E79" i="5"/>
  <c r="Q78" i="5"/>
  <c r="O78" i="5"/>
  <c r="E78" i="5"/>
  <c r="Q77" i="5"/>
  <c r="O77" i="5"/>
  <c r="E77" i="5"/>
  <c r="Q76" i="5"/>
  <c r="O76" i="5"/>
  <c r="E76" i="5"/>
  <c r="Q75" i="5"/>
  <c r="O75" i="5"/>
  <c r="E75" i="5"/>
  <c r="Q74" i="5"/>
  <c r="O74" i="5"/>
  <c r="E74" i="5"/>
  <c r="Q73" i="5"/>
  <c r="O73" i="5"/>
  <c r="E73" i="5"/>
  <c r="Q72" i="5"/>
  <c r="O72" i="5"/>
  <c r="E72" i="5"/>
  <c r="Q71" i="5"/>
  <c r="O71" i="5"/>
  <c r="E71" i="5"/>
  <c r="Q70" i="5"/>
  <c r="O70" i="5"/>
  <c r="E70" i="5"/>
  <c r="Q69" i="5"/>
  <c r="O69" i="5"/>
  <c r="E69" i="5"/>
  <c r="Q68" i="5"/>
  <c r="O68" i="5"/>
  <c r="E68" i="5"/>
  <c r="Q67" i="5"/>
  <c r="O67" i="5"/>
  <c r="E67" i="5"/>
  <c r="Q66" i="5"/>
  <c r="O66" i="5"/>
  <c r="E66" i="5"/>
  <c r="Q65" i="5"/>
  <c r="O65" i="5"/>
  <c r="E65" i="5"/>
  <c r="Q64" i="5"/>
  <c r="O64" i="5"/>
  <c r="E64" i="5"/>
  <c r="Q63" i="5"/>
  <c r="O63" i="5"/>
  <c r="E63" i="5"/>
  <c r="Q62" i="5"/>
  <c r="O62" i="5"/>
  <c r="E62" i="5"/>
  <c r="Q61" i="5"/>
  <c r="O61" i="5"/>
  <c r="E61" i="5"/>
  <c r="Q60" i="5"/>
  <c r="O60" i="5"/>
  <c r="E60" i="5"/>
  <c r="Q59" i="5"/>
  <c r="O59" i="5"/>
  <c r="E59" i="5"/>
  <c r="Q58" i="5"/>
  <c r="O58" i="5"/>
  <c r="E58" i="5"/>
  <c r="Q57" i="5"/>
  <c r="O57" i="5"/>
  <c r="E57" i="5"/>
  <c r="Q56" i="5"/>
  <c r="O56" i="5"/>
  <c r="E56" i="5"/>
  <c r="Q55" i="5"/>
  <c r="O55" i="5"/>
  <c r="E55" i="5"/>
  <c r="Q54" i="5"/>
  <c r="O54" i="5"/>
  <c r="E54" i="5"/>
  <c r="Q53" i="5"/>
  <c r="O53" i="5"/>
  <c r="E53" i="5"/>
  <c r="Q52" i="5"/>
  <c r="O52" i="5"/>
  <c r="E52" i="5"/>
  <c r="Q51" i="5"/>
  <c r="O51" i="5"/>
  <c r="E51" i="5"/>
  <c r="Q50" i="5"/>
  <c r="O50" i="5"/>
  <c r="E50" i="5"/>
  <c r="Q49" i="5"/>
  <c r="O49" i="5"/>
  <c r="E49" i="5"/>
  <c r="Q48" i="5"/>
  <c r="O48" i="5"/>
  <c r="E48" i="5"/>
  <c r="Q47" i="5"/>
  <c r="O47" i="5"/>
  <c r="E47" i="5"/>
  <c r="Q46" i="5"/>
  <c r="O46" i="5"/>
  <c r="E46" i="5"/>
  <c r="Q45" i="5"/>
  <c r="O45" i="5"/>
  <c r="E45" i="5"/>
  <c r="Q44" i="5"/>
  <c r="O44" i="5"/>
  <c r="E44" i="5"/>
  <c r="Q43" i="5"/>
  <c r="O43" i="5"/>
  <c r="E43" i="5"/>
  <c r="Q42" i="5"/>
  <c r="O42" i="5"/>
  <c r="E42" i="5"/>
  <c r="Q41" i="5"/>
  <c r="O41" i="5"/>
  <c r="E41" i="5"/>
  <c r="Q40" i="5"/>
  <c r="O40" i="5"/>
  <c r="E40" i="5"/>
  <c r="Q39" i="5"/>
  <c r="O39" i="5"/>
  <c r="E39" i="5"/>
  <c r="Q38" i="5"/>
  <c r="O38" i="5"/>
  <c r="E38" i="5"/>
  <c r="Q37" i="5"/>
  <c r="O37" i="5"/>
  <c r="E37" i="5"/>
  <c r="Q36" i="5"/>
  <c r="O36" i="5"/>
  <c r="E36" i="5"/>
  <c r="Q35" i="5"/>
  <c r="O35" i="5"/>
  <c r="E35" i="5"/>
  <c r="Q34" i="5"/>
  <c r="O34" i="5"/>
  <c r="E34" i="5"/>
  <c r="Q33" i="5"/>
  <c r="O33" i="5"/>
  <c r="E33" i="5"/>
  <c r="Q32" i="5"/>
  <c r="O32" i="5"/>
  <c r="E32" i="5"/>
  <c r="Q31" i="5"/>
  <c r="O31" i="5"/>
  <c r="E31" i="5"/>
  <c r="Q30" i="5"/>
  <c r="O30" i="5"/>
  <c r="E30" i="5"/>
  <c r="Q29" i="5"/>
  <c r="O29" i="5"/>
  <c r="E29" i="5"/>
  <c r="Q28" i="5"/>
  <c r="O28" i="5"/>
  <c r="E28" i="5"/>
  <c r="Q27" i="5"/>
  <c r="O27" i="5"/>
  <c r="E27" i="5"/>
  <c r="Q26" i="5"/>
  <c r="O26" i="5"/>
  <c r="E26" i="5"/>
  <c r="Q25" i="5"/>
  <c r="O25" i="5"/>
  <c r="E25" i="5"/>
  <c r="Q24" i="5"/>
  <c r="O24" i="5"/>
  <c r="E24" i="5"/>
  <c r="Q23" i="5"/>
  <c r="O23" i="5"/>
  <c r="E23" i="5"/>
  <c r="Q22" i="5"/>
  <c r="O22" i="5"/>
  <c r="E22" i="5"/>
  <c r="Q21" i="5"/>
  <c r="O21" i="5"/>
  <c r="E21" i="5"/>
  <c r="Q20" i="5"/>
  <c r="O20" i="5"/>
  <c r="E20" i="5"/>
  <c r="Q19" i="5"/>
  <c r="O19" i="5"/>
  <c r="E19" i="5"/>
  <c r="Q18" i="5"/>
  <c r="O18" i="5"/>
  <c r="E18" i="5"/>
  <c r="Q17" i="5"/>
  <c r="O17" i="5"/>
  <c r="E17" i="5"/>
  <c r="Q16" i="5"/>
  <c r="O16" i="5"/>
  <c r="E16" i="5"/>
  <c r="Q15" i="5"/>
  <c r="O15" i="5"/>
  <c r="E15" i="5"/>
  <c r="Q14" i="5"/>
  <c r="O14" i="5"/>
  <c r="E14" i="5"/>
  <c r="Q13" i="5"/>
  <c r="O13" i="5"/>
  <c r="E13" i="5"/>
  <c r="Q12" i="5"/>
  <c r="O12" i="5"/>
  <c r="E12" i="5"/>
  <c r="Q11" i="5"/>
  <c r="O11" i="5"/>
  <c r="E11" i="5"/>
  <c r="Q10" i="5"/>
  <c r="O10" i="5"/>
  <c r="E10" i="5"/>
  <c r="Q9" i="5"/>
  <c r="O9" i="5"/>
  <c r="E9" i="5"/>
  <c r="Q8" i="5"/>
  <c r="O8" i="5"/>
  <c r="E8" i="5"/>
  <c r="Q7" i="5"/>
  <c r="O7" i="5"/>
  <c r="E7" i="5"/>
  <c r="Q6" i="5"/>
  <c r="O6" i="5"/>
  <c r="E6" i="5"/>
  <c r="Q5" i="5"/>
  <c r="O5" i="5"/>
  <c r="E5" i="5"/>
  <c r="Q4" i="5"/>
  <c r="O4" i="5"/>
  <c r="E4" i="5"/>
  <c r="Q3" i="5"/>
  <c r="O3" i="5"/>
  <c r="E3" i="5"/>
  <c r="Q2" i="5"/>
  <c r="O2" i="5"/>
  <c r="E2" i="5"/>
</calcChain>
</file>

<file path=xl/sharedStrings.xml><?xml version="1.0" encoding="utf-8"?>
<sst xmlns="http://schemas.openxmlformats.org/spreadsheetml/2006/main" count="4011" uniqueCount="333">
  <si>
    <t>João Silva</t>
  </si>
  <si>
    <t>Ultimate</t>
  </si>
  <si>
    <t>Maria Oliveira</t>
  </si>
  <si>
    <t>Core</t>
  </si>
  <si>
    <t>Lucas Fernandes</t>
  </si>
  <si>
    <t>Standard</t>
  </si>
  <si>
    <t>Ana Souza</t>
  </si>
  <si>
    <t>Pedro Gonçalves</t>
  </si>
  <si>
    <t>Felipe Costa</t>
  </si>
  <si>
    <t>Camila Ribeiro</t>
  </si>
  <si>
    <t>André Mendes</t>
  </si>
  <si>
    <t>Sofia Almeida</t>
  </si>
  <si>
    <t>Bruno Martins</t>
  </si>
  <si>
    <t>Rita Castro</t>
  </si>
  <si>
    <t>Marco Túlio</t>
  </si>
  <si>
    <t>Lívia Silveira</t>
  </si>
  <si>
    <t>Diogo Sousa</t>
  </si>
  <si>
    <t>Fernanda Lima</t>
  </si>
  <si>
    <t>Caio Pereira</t>
  </si>
  <si>
    <t>Beatriz Gomes</t>
  </si>
  <si>
    <t>Cesar Oliveira</t>
  </si>
  <si>
    <t>Débora Machado</t>
  </si>
  <si>
    <t>Eduardo Vargas</t>
  </si>
  <si>
    <t>Gabriela Santos</t>
  </si>
  <si>
    <t>Henrique Dias</t>
  </si>
  <si>
    <t>Isabela Moreira</t>
  </si>
  <si>
    <t>Joaquim Barbosa</t>
  </si>
  <si>
    <t>Lara Rocha</t>
  </si>
  <si>
    <t>Matheus Silva</t>
  </si>
  <si>
    <t>Nicole Costa</t>
  </si>
  <si>
    <t>Otávio Mendonça</t>
  </si>
  <si>
    <t>Paula Ferreira</t>
  </si>
  <si>
    <t>Raquel Alves</t>
  </si>
  <si>
    <t>Samuel Pires</t>
  </si>
  <si>
    <t>Tânia Barros</t>
  </si>
  <si>
    <t>Vinicius Lima</t>
  </si>
  <si>
    <t>Yasmin Teixeira</t>
  </si>
  <si>
    <t>Zé Carlos</t>
  </si>
  <si>
    <t>Amanda Nogueira</t>
  </si>
  <si>
    <t>Bruno Cavalheiro</t>
  </si>
  <si>
    <t>Carla Dias</t>
  </si>
  <si>
    <t>Diego Fontes</t>
  </si>
  <si>
    <t>Eunice Lima</t>
  </si>
  <si>
    <t>Fábio Martins</t>
  </si>
  <si>
    <t>Gisele Araújo</t>
  </si>
  <si>
    <t>Hélio Castro</t>
  </si>
  <si>
    <t>Ingrid Menezes</t>
  </si>
  <si>
    <t>Jorge Baptista</t>
  </si>
  <si>
    <t>Kléber Oliveira</t>
  </si>
  <si>
    <t>Luciana Freitas</t>
  </si>
  <si>
    <t>Márcia Eller</t>
  </si>
  <si>
    <t>Nilo Peçanha</t>
  </si>
  <si>
    <t>Oscar Neves</t>
  </si>
  <si>
    <t>Patrícia Soares</t>
  </si>
  <si>
    <t>Quirino Gonçalves</t>
  </si>
  <si>
    <t>Raul Machado</t>
  </si>
  <si>
    <t>Sônia Lobo</t>
  </si>
  <si>
    <t>Tiago Ramos</t>
  </si>
  <si>
    <t>Ugo Pires</t>
  </si>
  <si>
    <t>Valéria Nobre</t>
  </si>
  <si>
    <t>William Siqueira</t>
  </si>
  <si>
    <t>Xuxa Meneghel</t>
  </si>
  <si>
    <t>Yara Figueiredo</t>
  </si>
  <si>
    <t>Zacarias Alves</t>
  </si>
  <si>
    <t>Amanda Bynes</t>
  </si>
  <si>
    <t>Bruno Mars</t>
  </si>
  <si>
    <t>Carla Bruni</t>
  </si>
  <si>
    <t>Diego Maradona</t>
  </si>
  <si>
    <t>Estela Marques</t>
  </si>
  <si>
    <t>Fábio Nobre</t>
  </si>
  <si>
    <t>Gabriel Oliveira</t>
  </si>
  <si>
    <t>Helena Santos</t>
  </si>
  <si>
    <t>Ivan Carvalho</t>
  </si>
  <si>
    <t>Júlia Ferreira</t>
  </si>
  <si>
    <t>Karla Alves</t>
  </si>
  <si>
    <t>Lucas Mendes</t>
  </si>
  <si>
    <t>Mônica Gomes</t>
  </si>
  <si>
    <t>Norberto Queiroz</t>
  </si>
  <si>
    <t>Otávio Barros</t>
  </si>
  <si>
    <t>Paula Vieira</t>
  </si>
  <si>
    <t>Quentin Ramos</t>
  </si>
  <si>
    <t>Raquel Novaes</t>
  </si>
  <si>
    <t>Samantha Lopes</t>
  </si>
  <si>
    <t>Tiago Martins</t>
  </si>
  <si>
    <t>Ulysses Guimarães</t>
  </si>
  <si>
    <t>Vanessa Silva</t>
  </si>
  <si>
    <t>William Carneiro</t>
  </si>
  <si>
    <t>Ximena Rocha</t>
  </si>
  <si>
    <t>Yasmin Figueiredo</t>
  </si>
  <si>
    <t>Zara Cunha</t>
  </si>
  <si>
    <t>Alan Teixeira</t>
  </si>
  <si>
    <t>Bárbara Oliveira</t>
  </si>
  <si>
    <t>Carlos Junqueira</t>
  </si>
  <si>
    <t>Daniela Moura</t>
  </si>
  <si>
    <t>Eduardo Lima</t>
  </si>
  <si>
    <t>Fabiana Araújo</t>
  </si>
  <si>
    <t>Geraldo Ribeiro</t>
  </si>
  <si>
    <t>Héctor Vargas</t>
  </si>
  <si>
    <t>Isabela Fonseca</t>
  </si>
  <si>
    <t>João Pedro Almeida</t>
  </si>
  <si>
    <t>Klara Costa</t>
  </si>
  <si>
    <t>Luciana Mendes</t>
  </si>
  <si>
    <t>Marcelo Gouveia</t>
  </si>
  <si>
    <t>Nívea Borges</t>
  </si>
  <si>
    <t>Oscar Nogueira</t>
  </si>
  <si>
    <t>Patrícia Alves</t>
  </si>
  <si>
    <t>Rafaela Silva</t>
  </si>
  <si>
    <t>Samantha Moraes</t>
  </si>
  <si>
    <t>Tatiana Rocha</t>
  </si>
  <si>
    <t>Ulisses Tavares</t>
  </si>
  <si>
    <t>Víctor Lemos</t>
  </si>
  <si>
    <t>Wilma Barros</t>
  </si>
  <si>
    <t>Xavier Nascimento</t>
  </si>
  <si>
    <t>Yago Pereira</t>
  </si>
  <si>
    <t>Zilda Ferreira</t>
  </si>
  <si>
    <t>Amanda Lopes</t>
  </si>
  <si>
    <t>Bruno Miranda</t>
  </si>
  <si>
    <t>Célia Torres</t>
  </si>
  <si>
    <t>Diogo Souza</t>
  </si>
  <si>
    <t>Elisa Castro</t>
  </si>
  <si>
    <t>Fátima Lima</t>
  </si>
  <si>
    <t>Hélio Martins</t>
  </si>
  <si>
    <t>Íris Santos</t>
  </si>
  <si>
    <t>João Marcelo</t>
  </si>
  <si>
    <t>Larissa Gomes</t>
  </si>
  <si>
    <t>Márcio Silva</t>
  </si>
  <si>
    <t>Nadia Costa</t>
  </si>
  <si>
    <t>Oscar Almeida</t>
  </si>
  <si>
    <t>Patricia Soares</t>
  </si>
  <si>
    <t>Quênia Barros</t>
  </si>
  <si>
    <t>Rafael Torres</t>
  </si>
  <si>
    <t>Silvia Nascimento</t>
  </si>
  <si>
    <t>Tiago Mendes</t>
  </si>
  <si>
    <t>Ursula Silva</t>
  </si>
  <si>
    <t>Vanessa Moraes</t>
  </si>
  <si>
    <t>Waldir Junior</t>
  </si>
  <si>
    <t>Xavier Lopes</t>
  </si>
  <si>
    <t>Yolanda Freitas</t>
  </si>
  <si>
    <t>Zacarias Nunes</t>
  </si>
  <si>
    <t>Ana Clara Barreto</t>
  </si>
  <si>
    <t>Bruno Henrique</t>
  </si>
  <si>
    <t>Carlos Eduardo</t>
  </si>
  <si>
    <t>Débora Lima</t>
  </si>
  <si>
    <t>Elisa Neves</t>
  </si>
  <si>
    <t>Fabiano Gomes</t>
  </si>
  <si>
    <t>Gisele Oliveira</t>
  </si>
  <si>
    <t>Héctor Silva</t>
  </si>
  <si>
    <t>Igor Martins</t>
  </si>
  <si>
    <t>Joana Figueiredo</t>
  </si>
  <si>
    <t>Kleber Machado</t>
  </si>
  <si>
    <t>Luciana Santos</t>
  </si>
  <si>
    <t>Marcos Teixeira</t>
  </si>
  <si>
    <t>Natalia Costa</t>
  </si>
  <si>
    <t>Oscar Ribeiro</t>
  </si>
  <si>
    <t>Patricia Almeida</t>
  </si>
  <si>
    <t>Quirino Junior</t>
  </si>
  <si>
    <t>Renata Machado</t>
  </si>
  <si>
    <t>Sônia Alves</t>
  </si>
  <si>
    <t>Tiago Nunes</t>
  </si>
  <si>
    <t>Ulysses Pereira</t>
  </si>
  <si>
    <t>Vanessa Lima</t>
  </si>
  <si>
    <t>Wagner Santos</t>
  </si>
  <si>
    <t>Yasmin Silva</t>
  </si>
  <si>
    <t>Zacarias de Souza</t>
  </si>
  <si>
    <t>André Lima</t>
  </si>
  <si>
    <t>Bianca Freitas</t>
  </si>
  <si>
    <t>Caio Mendes</t>
  </si>
  <si>
    <t>Eduardo Costa</t>
  </si>
  <si>
    <t>Fernanda Gomes</t>
  </si>
  <si>
    <t>Guilherme Souza</t>
  </si>
  <si>
    <t>Helena Ribeiro</t>
  </si>
  <si>
    <t>Igor Santos</t>
  </si>
  <si>
    <t>João Carvalho</t>
  </si>
  <si>
    <t>Klara Fagundes</t>
  </si>
  <si>
    <t>Lúcia Mendonça</t>
  </si>
  <si>
    <t>Marcelo Novaes</t>
  </si>
  <si>
    <t>Nina Pacheco</t>
  </si>
  <si>
    <t>Olívia Rios</t>
  </si>
  <si>
    <t>Paulo Quintana</t>
  </si>
  <si>
    <t>Raquel Domingos</t>
  </si>
  <si>
    <t>Samuel Viana</t>
  </si>
  <si>
    <t>Tatiane Rocha</t>
  </si>
  <si>
    <t>Ulysses Farias</t>
  </si>
  <si>
    <t>Vanessa Moreira</t>
  </si>
  <si>
    <t>William Carvalho</t>
  </si>
  <si>
    <t>Ximena Barros</t>
  </si>
  <si>
    <t>Yara Machado</t>
  </si>
  <si>
    <t>Zacarias Costa</t>
  </si>
  <si>
    <t>André Lopes</t>
  </si>
  <si>
    <t>Beatriz Souza</t>
  </si>
  <si>
    <t>Daniela Araújo</t>
  </si>
  <si>
    <t>Eduardo Santos</t>
  </si>
  <si>
    <t>Gabriel Teixeira</t>
  </si>
  <si>
    <t>Igor Mendes</t>
  </si>
  <si>
    <t>Joana Silveira</t>
  </si>
  <si>
    <t>Lucas Martins</t>
  </si>
  <si>
    <t>Marcela Gouveia</t>
  </si>
  <si>
    <t>Nicolas Borges</t>
  </si>
  <si>
    <t>Olivia Freitas</t>
  </si>
  <si>
    <t>Paulo Nogueira</t>
  </si>
  <si>
    <t>Raquel Andrade</t>
  </si>
  <si>
    <t>Sônia Carvalho</t>
  </si>
  <si>
    <t>Tiago Rodrigues</t>
  </si>
  <si>
    <t>Ursula Monteiro</t>
  </si>
  <si>
    <t>Vanessa Pereira</t>
  </si>
  <si>
    <t>Walter Silva</t>
  </si>
  <si>
    <t>Xavier Almeida</t>
  </si>
  <si>
    <t>Yasmine Correia</t>
  </si>
  <si>
    <t>Zacarias Almeida</t>
  </si>
  <si>
    <t>Amanda Costa</t>
  </si>
  <si>
    <t>Bruno Ferreira</t>
  </si>
  <si>
    <t>Diogo Martins</t>
  </si>
  <si>
    <t>Elisa Campos</t>
  </si>
  <si>
    <t>Fabiana Lima</t>
  </si>
  <si>
    <t>Gabriel Santos</t>
  </si>
  <si>
    <t>Helena Ferreira</t>
  </si>
  <si>
    <t>Ígor Nunes</t>
  </si>
  <si>
    <t>Luciana Morais</t>
  </si>
  <si>
    <t>Marcos Vinícius</t>
  </si>
  <si>
    <t>Natália Barros</t>
  </si>
  <si>
    <t>Oscar Sampaio</t>
  </si>
  <si>
    <t>Patrícia Leite</t>
  </si>
  <si>
    <t>Quênia Rocha</t>
  </si>
  <si>
    <t>Sandra Gouveia</t>
  </si>
  <si>
    <t>Tiago Lacerda</t>
  </si>
  <si>
    <t>Ursula Fonseca</t>
  </si>
  <si>
    <t>Vanessa Andrade</t>
  </si>
  <si>
    <t>William Castro</t>
  </si>
  <si>
    <t>Xavier Monteiro</t>
  </si>
  <si>
    <t>Yasmin Figueira</t>
  </si>
  <si>
    <t>Zacarias Mendonça</t>
  </si>
  <si>
    <t>Amanda Menezes</t>
  </si>
  <si>
    <t>Bruno Santos</t>
  </si>
  <si>
    <t>Carla Ferreira</t>
  </si>
  <si>
    <t>Diogo Alves</t>
  </si>
  <si>
    <t>Fabiano Pires</t>
  </si>
  <si>
    <t>Giovana Ribeiro</t>
  </si>
  <si>
    <t>Hélio Costa</t>
  </si>
  <si>
    <t>Íris Loureiro</t>
  </si>
  <si>
    <t>João Pereira</t>
  </si>
  <si>
    <t>Klara Silva</t>
  </si>
  <si>
    <t>Luciana Barros</t>
  </si>
  <si>
    <t>Marcos Gomes</t>
  </si>
  <si>
    <t>Natália Soares</t>
  </si>
  <si>
    <t>Oscar Machado</t>
  </si>
  <si>
    <t>Patrícia Lima</t>
  </si>
  <si>
    <t>Quirino Neto</t>
  </si>
  <si>
    <t>Rafaela Souza</t>
  </si>
  <si>
    <t>Sandro Almeida</t>
  </si>
  <si>
    <t>Tânia Ribeiro</t>
  </si>
  <si>
    <t>Ugo Dias</t>
  </si>
  <si>
    <t>Valéria Lima</t>
  </si>
  <si>
    <t>William Fernandes</t>
  </si>
  <si>
    <t>Xuxa Mendes</t>
  </si>
  <si>
    <t>Ygor Farias</t>
  </si>
  <si>
    <t>Zilda Barros</t>
  </si>
  <si>
    <t>Amanda Santos</t>
  </si>
  <si>
    <t>Bruno Costa</t>
  </si>
  <si>
    <t>Carla Rodrigues</t>
  </si>
  <si>
    <t>Diogo Pereira</t>
  </si>
  <si>
    <t>Elisa Correia</t>
  </si>
  <si>
    <t>Fábio Lourenço</t>
  </si>
  <si>
    <t>Gabriela Neves</t>
  </si>
  <si>
    <t>Henrique Gonçalves</t>
  </si>
  <si>
    <t>João Marcelo Alves</t>
  </si>
  <si>
    <t>Klara Fonseca</t>
  </si>
  <si>
    <t>Lucas Mendonça</t>
  </si>
  <si>
    <t>Marcela Torres</t>
  </si>
  <si>
    <t>Natália Castro</t>
  </si>
  <si>
    <t>Oscar Martins</t>
  </si>
  <si>
    <t>Patrícia Oliveira</t>
  </si>
  <si>
    <t>Quentin Nogueira</t>
  </si>
  <si>
    <t>Raquel Silva</t>
  </si>
  <si>
    <t>Sandro Gomes</t>
  </si>
  <si>
    <t>Tânia Machado</t>
  </si>
  <si>
    <t>Xavier Reis</t>
  </si>
  <si>
    <t>Yasmin Rocha</t>
  </si>
  <si>
    <t>Zacarias Duarte</t>
  </si>
  <si>
    <t>Amanda Freitas</t>
  </si>
  <si>
    <t>Bruno Almeida</t>
  </si>
  <si>
    <t>Carla Siqueira</t>
  </si>
  <si>
    <t>Diogo Ramos</t>
  </si>
  <si>
    <t>Elisa Magalhães</t>
  </si>
  <si>
    <t>-</t>
  </si>
  <si>
    <t>ID do Assinante</t>
  </si>
  <si>
    <t>Nome</t>
  </si>
  <si>
    <t>Plano</t>
  </si>
  <si>
    <t>Data de Início</t>
  </si>
  <si>
    <t>Renovação Automática</t>
  </si>
  <si>
    <t>Preço da Assinatura</t>
  </si>
  <si>
    <t>Tipo de Assinatura</t>
  </si>
  <si>
    <t>Valor Cupom</t>
  </si>
  <si>
    <t>Valor Total</t>
  </si>
  <si>
    <t>Passe de Temporada do EA Play</t>
  </si>
  <si>
    <t>Passe de Temporada do Minecraft</t>
  </si>
  <si>
    <t>Preço Minecraft</t>
  </si>
  <si>
    <t>Preço EA Play</t>
  </si>
  <si>
    <t>Mensal</t>
  </si>
  <si>
    <t>Trimestral</t>
  </si>
  <si>
    <t>Anual</t>
  </si>
  <si>
    <t>Sim</t>
  </si>
  <si>
    <t>Não</t>
  </si>
  <si>
    <t>Rótulos de Linha</t>
  </si>
  <si>
    <t>Soma de Valor Total</t>
  </si>
  <si>
    <t>Contagem de ID do Assinante</t>
  </si>
  <si>
    <t>Mês</t>
  </si>
  <si>
    <t>KPI &gt;&gt;&gt;</t>
  </si>
  <si>
    <t>Total de Assinantes</t>
  </si>
  <si>
    <t>% de Renovação Automática</t>
  </si>
  <si>
    <t>EA_Qtd</t>
  </si>
  <si>
    <t>MC_Qtd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</si>
  <si>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</si>
  <si>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</si>
  <si>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</si>
  <si>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</si>
  <si>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</si>
  <si>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</si>
  <si>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</si>
  <si>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</si>
  <si>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</si>
  <si>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</si>
  <si>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</si>
  <si>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</si>
  <si>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Faturamento Minecraft</t>
  </si>
  <si>
    <t>Faturamento EA Play</t>
  </si>
  <si>
    <t>Qtd EA Play</t>
  </si>
  <si>
    <t>Qtd Minecraft</t>
  </si>
  <si>
    <t>Quantidade de assinantes por plano</t>
  </si>
  <si>
    <t>Faturamento por plano</t>
  </si>
  <si>
    <t>Total de assinaturas nos planos anual, mensal e trimestral</t>
  </si>
  <si>
    <t>Número de assinantes e faturamento de EA e Minecraft lado a lado para comparação.</t>
  </si>
  <si>
    <t>Faturamento Total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</si>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</sst>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&quot;R$ &quot;#,##0.00"/>
  </numFmts>
  <fonts count="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rgb="FFC4C3C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4D3D5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1" xfId="0" applyFont="1" applyBorder="1" applyAlignment="1">
      <alignment horizontal="left" vertical="center" wrapText="1"/>
    </xf>
    <xf numFmtId="14" fontId="0" fillId="0" borderId="2" xfId="0" applyNumberFormat="1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4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14" fontId="0" fillId="0" borderId="2" xfId="0" applyNumberFormat="1" applyFont="1" applyBorder="1" applyAlignment="1">
      <alignment horizontal="left" vertical="center"/>
    </xf>
    <xf numFmtId="0" fontId="0" fillId="0" borderId="0" xfId="0" applyAlignment="1"/>
    <xf numFmtId="0" fontId="0" fillId="0" borderId="6" xfId="0" applyFont="1" applyBorder="1" applyAlignment="1">
      <alignment horizontal="left" vertical="center" wrapText="1"/>
    </xf>
    <xf numFmtId="0" fontId="0" fillId="0" borderId="2" xfId="0" applyFont="1" applyBorder="1" applyAlignment="1">
      <alignment vertical="center"/>
    </xf>
    <xf numFmtId="0" fontId="0" fillId="0" borderId="2" xfId="0" applyFont="1" applyBorder="1" applyAlignment="1">
      <alignment vertical="center" wrapText="1"/>
    </xf>
    <xf numFmtId="0" fontId="0" fillId="0" borderId="4" xfId="0" applyFont="1" applyBorder="1" applyAlignment="1">
      <alignment vertical="center" wrapText="1"/>
    </xf>
    <xf numFmtId="165" fontId="0" fillId="0" borderId="2" xfId="1" applyNumberFormat="1" applyFont="1" applyBorder="1" applyAlignment="1">
      <alignment horizontal="left" vertical="center" wrapText="1"/>
    </xf>
    <xf numFmtId="165" fontId="0" fillId="0" borderId="2" xfId="1" applyNumberFormat="1" applyFont="1" applyBorder="1" applyAlignment="1">
      <alignment horizontal="left" vertical="center"/>
    </xf>
    <xf numFmtId="165" fontId="0" fillId="0" borderId="4" xfId="1" applyNumberFormat="1" applyFont="1" applyBorder="1" applyAlignment="1">
      <alignment horizontal="left" vertical="center" wrapText="1"/>
    </xf>
    <xf numFmtId="165" fontId="0" fillId="0" borderId="3" xfId="1" applyNumberFormat="1" applyFont="1" applyBorder="1" applyAlignment="1">
      <alignment horizontal="left" vertical="center"/>
    </xf>
    <xf numFmtId="165" fontId="0" fillId="0" borderId="3" xfId="1" applyNumberFormat="1" applyFont="1" applyBorder="1" applyAlignment="1">
      <alignment horizontal="left" vertical="center" wrapText="1"/>
    </xf>
    <xf numFmtId="165" fontId="0" fillId="0" borderId="5" xfId="1" applyNumberFormat="1" applyFont="1" applyBorder="1" applyAlignment="1">
      <alignment horizontal="left" vertical="center" wrapText="1"/>
    </xf>
    <xf numFmtId="0" fontId="2" fillId="0" borderId="2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vertical="center"/>
    </xf>
    <xf numFmtId="14" fontId="0" fillId="0" borderId="0" xfId="0" applyNumberFormat="1" applyFont="1" applyBorder="1" applyAlignment="1">
      <alignment horizontal="left" vertical="center"/>
    </xf>
    <xf numFmtId="165" fontId="0" fillId="0" borderId="0" xfId="1" applyNumberFormat="1" applyFont="1" applyBorder="1" applyAlignment="1">
      <alignment horizontal="left" vertical="center" wrapText="1"/>
    </xf>
    <xf numFmtId="165" fontId="0" fillId="0" borderId="0" xfId="1" applyNumberFormat="1" applyFont="1" applyBorder="1" applyAlignment="1">
      <alignment horizontal="left" vertical="center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vertical="center" wrapText="1"/>
    </xf>
    <xf numFmtId="14" fontId="0" fillId="0" borderId="0" xfId="0" applyNumberFormat="1" applyFont="1" applyBorder="1" applyAlignment="1">
      <alignment horizontal="left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applyNumberFormat="1" applyFont="1" applyBorder="1" applyAlignment="1">
      <alignment horizontal="left" vertical="center"/>
    </xf>
    <xf numFmtId="0" fontId="0" fillId="0" borderId="0" xfId="0" applyNumberFormat="1" applyFont="1" applyBorder="1" applyAlignment="1">
      <alignment horizontal="left" vertical="center" wrapText="1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165" fontId="4" fillId="0" borderId="0" xfId="1" applyNumberFormat="1" applyFont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4" fillId="0" borderId="0" xfId="1" applyNumberFormat="1" applyFont="1" applyAlignment="1">
      <alignment horizontal="left" vertical="center" wrapText="1"/>
    </xf>
    <xf numFmtId="165" fontId="3" fillId="0" borderId="0" xfId="1" applyNumberFormat="1" applyFont="1" applyAlignment="1">
      <alignment horizontal="left"/>
    </xf>
    <xf numFmtId="0" fontId="5" fillId="2" borderId="0" xfId="0" applyFont="1" applyFill="1"/>
    <xf numFmtId="0" fontId="0" fillId="2" borderId="0" xfId="0" applyFill="1"/>
    <xf numFmtId="9" fontId="0" fillId="0" borderId="0" xfId="0" applyNumberFormat="1"/>
    <xf numFmtId="10" fontId="3" fillId="0" borderId="0" xfId="0" applyNumberFormat="1" applyFont="1"/>
    <xf numFmtId="44" fontId="0" fillId="0" borderId="0" xfId="0" applyNumberFormat="1" applyAlignment="1">
      <alignment horizontal="left"/>
    </xf>
    <xf numFmtId="44" fontId="0" fillId="0" borderId="0" xfId="0" applyNumberFormat="1"/>
  </cellXfs>
  <cellStyles count="2">
    <cellStyle name="Moeda" xfId="1" builtinId="4"/>
    <cellStyle name="Normal" xfId="0" builtinId="0"/>
  </cellStyles>
  <dxfs count="82">
    <dxf>
      <numFmt numFmtId="165" formatCode="&quot;R$ &quot;#,##0.00"/>
    </dxf>
    <dxf>
      <alignment horizontal="left" readingOrder="0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alignment horizontal="left" readingOrder="0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alignment horizontal="left" readingOrder="0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alignment horizontal="left" readingOrder="0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alignment horizontal="left" readingOrder="0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alignment horizontal="left" readingOrder="0"/>
    </dxf>
    <dxf>
      <numFmt numFmtId="165" formatCode="&quot;R$ &quot;#,##0.00"/>
    </dxf>
    <dxf>
      <numFmt numFmtId="34" formatCode="_(&quot;R$ &quot;* #,##0.00_);_(&quot;R$ &quot;* \(#,##0.00\);_(&quot;R$ &quot;* &quot;-&quot;??_);_(@_)"/>
    </dxf>
    <dxf>
      <numFmt numFmtId="34" formatCode="_(&quot;R$ &quot;* #,##0.00_);_(&quot;R$ &quot;* \(#,##0.00\);_(&quot;R$ &quot;* &quot;-&quot;??_);_(@_)"/>
    </dxf>
    <dxf>
      <numFmt numFmtId="165" formatCode="&quot;R$ &quot;#,##0.00"/>
    </dxf>
    <dxf>
      <numFmt numFmtId="165" formatCode="&quot;R$ 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65" formatCode="&quot;R$ &quot;#,##0.00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9" formatCode="d/m/yyyy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numFmt numFmtId="19" formatCode="d/m/yyyy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name val="Arial"/>
        <scheme val="none"/>
      </font>
    </dxf>
    <dxf>
      <fill>
        <patternFill patternType="solid">
          <fgColor indexed="64"/>
          <bgColor rgb="FFD4D3D5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81"/>
      <tableStyleElement type="headerRow" dxfId="80"/>
    </tableStyle>
  </tableStyles>
  <colors>
    <mruColors>
      <color rgb="FF008A5D"/>
      <color rgb="FFFF4545"/>
      <color rgb="FF5BF6A8"/>
      <color rgb="FF56B821"/>
      <color rgb="FF00B786"/>
      <color rgb="FF22C55E"/>
      <color rgb="FFD4D3D5"/>
      <color rgb="FFC4C3C4"/>
      <color rgb="FF107C10"/>
      <color rgb="FF0E7C10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auto="1"/>
            <name val="Arial"/>
            <scheme val="none"/>
          </font>
          <fill>
            <patternFill>
              <fgColor theme="3"/>
              <bgColor rgb="FF00B786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 Dashboard de Vendas do Xbox com Excel.xlsm]Tabela_Dinâmica!Tabela dinâmica1</c:name>
    <c:fmtId val="7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Plano</a:t>
            </a:r>
          </a:p>
        </c:rich>
      </c:tx>
      <c:layout>
        <c:manualLayout>
          <c:xMode val="edge"/>
          <c:yMode val="edge"/>
          <c:x val="0.13451511111111114"/>
          <c:y val="6.3695987654320982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 </c:separator>
        </c:dLbl>
      </c:pivotFmt>
      <c:pivotFmt>
        <c:idx val="3"/>
        <c:spPr>
          <a:solidFill>
            <a:srgbClr val="00B786"/>
          </a:solidFill>
          <a:ln>
            <a:noFill/>
          </a:ln>
        </c:spPr>
      </c:pivotFmt>
      <c:pivotFmt>
        <c:idx val="4"/>
        <c:spPr>
          <a:solidFill>
            <a:srgbClr val="5BF6A8"/>
          </a:solidFill>
          <a:ln>
            <a:noFill/>
          </a:ln>
        </c:spPr>
      </c:pivotFmt>
      <c:pivotFmt>
        <c:idx val="5"/>
        <c:spPr>
          <a:solidFill>
            <a:srgbClr val="FF4545"/>
          </a:solidFill>
          <a:ln>
            <a:noFill/>
          </a:ln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Tabela_Dinâmica!$B$7</c:f>
              <c:strCache>
                <c:ptCount val="1"/>
                <c:pt idx="0">
                  <c:v>Total</c:v>
                </c:pt>
              </c:strCache>
            </c:strRef>
          </c:tx>
          <c:explosion val="4"/>
          <c:dPt>
            <c:idx val="0"/>
            <c:bubble3D val="0"/>
            <c:spPr>
              <a:solidFill>
                <a:srgbClr val="5BF6A8"/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FF4545"/>
              </a:solidFill>
              <a:ln>
                <a:noFill/>
              </a:ln>
            </c:spPr>
          </c:dPt>
          <c:dPt>
            <c:idx val="2"/>
            <c:bubble3D val="0"/>
            <c:spPr>
              <a:solidFill>
                <a:srgbClr val="00B786"/>
              </a:solidFill>
              <a:ln>
                <a:noFill/>
              </a:ln>
            </c:spPr>
          </c:dPt>
          <c:dLbls>
            <c:spPr/>
            <c:txPr>
              <a:bodyPr/>
              <a:lstStyle/>
              <a:p>
                <a:pPr>
                  <a:defRPr sz="12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</c:dLbls>
          <c:cat>
            <c:strRef>
              <c:f>Tabela_Dinâmica!$A$8:$A$10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Tabela_Dinâmica!$B$8:$B$10</c:f>
              <c:numCache>
                <c:formatCode>General</c:formatCode>
                <c:ptCount val="3"/>
                <c:pt idx="0">
                  <c:v>101</c:v>
                </c:pt>
                <c:pt idx="1">
                  <c:v>96</c:v>
                </c:pt>
                <c:pt idx="2">
                  <c:v>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"/>
        <c:holeSize val="50"/>
      </c:doughnutChart>
    </c:plotArea>
    <c:plotVisOnly val="1"/>
    <c:dispBlanksAs val="zero"/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 Dashboard de Vendas do Xbox com Excel.xlsm]Tabela_Dinâmica!Tabela dinâmica2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Assinaturas</a:t>
            </a:r>
          </a:p>
        </c:rich>
      </c:tx>
      <c:layout>
        <c:manualLayout>
          <c:xMode val="edge"/>
          <c:yMode val="edge"/>
          <c:x val="0.14575466666666664"/>
          <c:y val="5.8796296296296319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</c:dLbl>
      </c:pivotFmt>
      <c:pivotFmt>
        <c:idx val="2"/>
        <c:spPr>
          <a:solidFill>
            <a:srgbClr val="2AE6B1"/>
          </a:solidFill>
        </c:spPr>
        <c:marker>
          <c:symbol val="none"/>
        </c:marker>
        <c:dLbl>
          <c:idx val="0"/>
          <c:spPr>
            <a:noFill/>
          </c:spPr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 </c:separator>
        </c:dLbl>
      </c:pivotFmt>
      <c:pivotFmt>
        <c:idx val="3"/>
        <c:spPr>
          <a:solidFill>
            <a:srgbClr val="00B786"/>
          </a:solidFill>
          <a:ln>
            <a:noFill/>
          </a:ln>
        </c:spPr>
      </c:pivotFmt>
      <c:pivotFmt>
        <c:idx val="4"/>
        <c:spPr>
          <a:solidFill>
            <a:srgbClr val="5BF6A8"/>
          </a:solidFill>
          <a:ln>
            <a:noFill/>
          </a:ln>
        </c:spPr>
      </c:pivotFmt>
      <c:pivotFmt>
        <c:idx val="5"/>
        <c:spPr>
          <a:solidFill>
            <a:srgbClr val="FF4545"/>
          </a:solidFill>
          <a:ln>
            <a:noFill/>
          </a:ln>
        </c:spPr>
      </c:pivotFmt>
      <c:pivotFmt>
        <c:idx val="6"/>
        <c:spPr>
          <a:solidFill>
            <a:srgbClr val="2AE6B1"/>
          </a:solidFill>
        </c:spPr>
        <c:marker>
          <c:symbol val="none"/>
        </c:marker>
        <c:dLbl>
          <c:idx val="0"/>
          <c:spPr>
            <a:noFill/>
          </c:spPr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 </c:separator>
        </c:dLbl>
      </c:pivotFmt>
      <c:pivotFmt>
        <c:idx val="7"/>
        <c:spPr>
          <a:solidFill>
            <a:srgbClr val="5BF6A8"/>
          </a:solidFill>
          <a:ln>
            <a:noFill/>
          </a:ln>
        </c:spPr>
      </c:pivotFmt>
      <c:pivotFmt>
        <c:idx val="8"/>
        <c:spPr>
          <a:solidFill>
            <a:srgbClr val="FF4545"/>
          </a:solidFill>
          <a:ln>
            <a:noFill/>
          </a:ln>
        </c:spPr>
      </c:pivotFmt>
      <c:pivotFmt>
        <c:idx val="9"/>
        <c:spPr>
          <a:solidFill>
            <a:srgbClr val="00B786"/>
          </a:solidFill>
          <a:ln>
            <a:noFill/>
          </a:ln>
        </c:spPr>
      </c:pivotFmt>
      <c:pivotFmt>
        <c:idx val="10"/>
        <c:spPr>
          <a:solidFill>
            <a:srgbClr val="2AE6B1"/>
          </a:solidFill>
        </c:spPr>
        <c:marker>
          <c:symbol val="none"/>
        </c:marker>
        <c:dLbl>
          <c:idx val="0"/>
          <c:spPr>
            <a:noFill/>
          </c:spPr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 </c:separator>
        </c:dLbl>
      </c:pivotFmt>
      <c:pivotFmt>
        <c:idx val="11"/>
        <c:spPr>
          <a:solidFill>
            <a:srgbClr val="5BF6A8"/>
          </a:solidFill>
          <a:ln>
            <a:noFill/>
          </a:ln>
        </c:spPr>
      </c:pivotFmt>
      <c:pivotFmt>
        <c:idx val="12"/>
        <c:spPr>
          <a:solidFill>
            <a:srgbClr val="FF4545"/>
          </a:solidFill>
          <a:ln>
            <a:noFill/>
          </a:ln>
        </c:spPr>
      </c:pivotFmt>
      <c:pivotFmt>
        <c:idx val="13"/>
        <c:spPr>
          <a:solidFill>
            <a:srgbClr val="00B786"/>
          </a:solidFill>
          <a:ln>
            <a:noFill/>
          </a:ln>
        </c:spPr>
      </c:pivotFmt>
      <c:pivotFmt>
        <c:idx val="14"/>
        <c:spPr>
          <a:solidFill>
            <a:srgbClr val="2AE6B1"/>
          </a:solidFill>
        </c:spPr>
        <c:marker>
          <c:symbol val="none"/>
        </c:marker>
        <c:dLbl>
          <c:idx val="0"/>
          <c:layout/>
          <c:spPr>
            <a:noFill/>
          </c:spPr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 </c:separator>
        </c:dLbl>
      </c:pivotFmt>
      <c:pivotFmt>
        <c:idx val="15"/>
        <c:spPr>
          <a:solidFill>
            <a:srgbClr val="5BF6A8"/>
          </a:solidFill>
          <a:ln>
            <a:noFill/>
          </a:ln>
        </c:spPr>
      </c:pivotFmt>
      <c:pivotFmt>
        <c:idx val="16"/>
        <c:spPr>
          <a:solidFill>
            <a:srgbClr val="FF4545"/>
          </a:solidFill>
          <a:ln>
            <a:noFill/>
          </a:ln>
        </c:spPr>
      </c:pivotFmt>
      <c:pivotFmt>
        <c:idx val="17"/>
        <c:spPr>
          <a:solidFill>
            <a:srgbClr val="00B786"/>
          </a:solidFill>
          <a:ln>
            <a:noFill/>
          </a:ln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Tabela_Dinâmica!$E$7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AE6B1"/>
            </a:solidFill>
          </c:spPr>
          <c:explosion val="4"/>
          <c:dPt>
            <c:idx val="0"/>
            <c:bubble3D val="0"/>
            <c:spPr>
              <a:solidFill>
                <a:srgbClr val="5BF6A8"/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FF4545"/>
              </a:solidFill>
              <a:ln>
                <a:noFill/>
              </a:ln>
            </c:spPr>
          </c:dPt>
          <c:dPt>
            <c:idx val="2"/>
            <c:bubble3D val="0"/>
            <c:spPr>
              <a:solidFill>
                <a:srgbClr val="00B786"/>
              </a:solidFill>
              <a:ln>
                <a:noFill/>
              </a:ln>
            </c:spPr>
          </c:dPt>
          <c:dLbls>
            <c:spPr>
              <a:noFill/>
            </c:spPr>
            <c:txPr>
              <a:bodyPr/>
              <a:lstStyle/>
              <a:p>
                <a:pPr>
                  <a:defRPr sz="12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</c:dLbls>
          <c:cat>
            <c:strRef>
              <c:f>Tabela_Dinâmica!$D$8:$D$10</c:f>
              <c:strCache>
                <c:ptCount val="3"/>
                <c:pt idx="0">
                  <c:v>Anual</c:v>
                </c:pt>
                <c:pt idx="1">
                  <c:v>Mensal</c:v>
                </c:pt>
                <c:pt idx="2">
                  <c:v>Trimestral</c:v>
                </c:pt>
              </c:strCache>
            </c:strRef>
          </c:cat>
          <c:val>
            <c:numRef>
              <c:f>Tabela_Dinâmica!$E$8:$E$10</c:f>
              <c:numCache>
                <c:formatCode>General</c:formatCode>
                <c:ptCount val="3"/>
                <c:pt idx="0">
                  <c:v>71</c:v>
                </c:pt>
                <c:pt idx="1">
                  <c:v>139</c:v>
                </c:pt>
                <c:pt idx="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"/>
        <c:holeSize val="50"/>
      </c:doughnutChart>
    </c:plotArea>
    <c:plotVisOnly val="1"/>
    <c:dispBlanksAs val="zero"/>
    <c:showDLblsOverMax val="0"/>
  </c:chart>
  <c:spPr>
    <a:noFill/>
    <a:ln>
      <a:noFill/>
    </a:ln>
    <a:effectLst>
      <a:outerShdw blurRad="63500" sx="102000" sy="102000" algn="ctr" rotWithShape="0">
        <a:schemeClr val="tx1">
          <a:alpha val="40000"/>
        </a:schemeClr>
      </a:outerShdw>
    </a:effectLst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 Dashboard de Vendas do Xbox com Excel.xlsm]Tabela_Dinâmica!Tabela dinâmica3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 sz="1800" b="1" i="0" u="none" strike="noStrike" baseline="0"/>
              <a:t>Faturamento por Plano </a:t>
            </a:r>
            <a:endParaRPr lang="pt-BR"/>
          </a:p>
        </c:rich>
      </c:tx>
      <c:layout>
        <c:manualLayout>
          <c:xMode val="edge"/>
          <c:yMode val="edge"/>
          <c:x val="0.13450799999999999"/>
          <c:y val="5.8796296296296319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&quot;R$ &quot;#,##0.0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numFmt formatCode="&quot;R$ &quot;#,##0.00" sourceLinked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rgbClr val="22C55E"/>
          </a:solidFill>
          <a:ln>
            <a:noFill/>
          </a:ln>
        </c:spPr>
        <c:marker>
          <c:symbol val="none"/>
        </c:marker>
        <c:dLbl>
          <c:idx val="0"/>
          <c:numFmt formatCode="&quot;R$ &quot;#,##0.00" sourceLinked="0"/>
          <c:spPr>
            <a:noFill/>
            <a:ln>
              <a:noFill/>
            </a:ln>
          </c:spPr>
          <c:txPr>
            <a:bodyPr/>
            <a:lstStyle/>
            <a:p>
              <a:pPr>
                <a:defRPr sz="1200"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 </c:separator>
        </c:dLbl>
      </c:pivotFmt>
      <c:pivotFmt>
        <c:idx val="3"/>
        <c:spPr>
          <a:solidFill>
            <a:srgbClr val="00B786"/>
          </a:solidFill>
          <a:ln>
            <a:noFill/>
          </a:ln>
        </c:spPr>
        <c:dLbl>
          <c:idx val="0"/>
          <c:layout>
            <c:manualLayout>
              <c:x val="0"/>
              <c:y val="3.9197530864197534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 </c:separator>
        </c:dLbl>
      </c:pivotFmt>
      <c:pivotFmt>
        <c:idx val="4"/>
        <c:spPr>
          <a:solidFill>
            <a:srgbClr val="5BF6A8"/>
          </a:solidFill>
          <a:ln>
            <a:noFill/>
          </a:ln>
        </c:spPr>
        <c:dLbl>
          <c:idx val="0"/>
          <c:layout>
            <c:manualLayout>
              <c:x val="2.2577777777777842E-2"/>
              <c:y val="-5.8796296296296319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 </c:separator>
        </c:dLbl>
      </c:pivotFmt>
      <c:pivotFmt>
        <c:idx val="5"/>
        <c:spPr>
          <a:solidFill>
            <a:srgbClr val="FF4545"/>
          </a:solidFill>
          <a:ln>
            <a:noFill/>
          </a:ln>
        </c:spPr>
        <c:dLbl>
          <c:idx val="0"/>
          <c:layout>
            <c:manualLayout>
              <c:x val="0"/>
              <c:y val="2.4498456790123455E-2"/>
            </c:manualLayout>
          </c:layout>
          <c:showLegendKey val="0"/>
          <c:showVal val="1"/>
          <c:showCatName val="1"/>
          <c:showSerName val="0"/>
          <c:showPercent val="0"/>
          <c:showBubbleSize val="0"/>
          <c:separator> </c:separator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Tabela_Dinâmica!$H$7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22C55E"/>
            </a:solidFill>
            <a:ln>
              <a:noFill/>
            </a:ln>
          </c:spPr>
          <c:explosion val="4"/>
          <c:dPt>
            <c:idx val="0"/>
            <c:bubble3D val="0"/>
            <c:spPr>
              <a:solidFill>
                <a:srgbClr val="FF4545"/>
              </a:solidFill>
              <a:ln>
                <a:noFill/>
              </a:ln>
            </c:spPr>
          </c:dPt>
          <c:dPt>
            <c:idx val="1"/>
            <c:bubble3D val="0"/>
            <c:spPr>
              <a:solidFill>
                <a:srgbClr val="00B786"/>
              </a:solidFill>
              <a:ln>
                <a:noFill/>
              </a:ln>
            </c:spPr>
          </c:dPt>
          <c:dPt>
            <c:idx val="2"/>
            <c:bubble3D val="0"/>
            <c:spPr>
              <a:solidFill>
                <a:srgbClr val="5BF6A8"/>
              </a:solidFill>
              <a:ln>
                <a:noFill/>
              </a:ln>
            </c:spPr>
          </c:dPt>
          <c:dLbls>
            <c:dLbl>
              <c:idx val="0"/>
              <c:layout>
                <c:manualLayout>
                  <c:x val="0"/>
                  <c:y val="2.449845679012345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</c:dLbl>
            <c:dLbl>
              <c:idx val="1"/>
              <c:layout>
                <c:manualLayout>
                  <c:x val="0"/>
                  <c:y val="3.91975308641975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</c:dLbl>
            <c:dLbl>
              <c:idx val="2"/>
              <c:layout>
                <c:manualLayout>
                  <c:x val="2.2577777777777842E-2"/>
                  <c:y val="-5.879629629629631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 </c:separator>
            </c:dLbl>
            <c:numFmt formatCode="&quot;R$ &quot;#,##0.0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12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</c:dLbls>
          <c:cat>
            <c:strRef>
              <c:f>Tabela_Dinâmica!$G$8:$G$10</c:f>
              <c:strCache>
                <c:ptCount val="3"/>
                <c:pt idx="0">
                  <c:v>Ultimate</c:v>
                </c:pt>
                <c:pt idx="1">
                  <c:v>Standard</c:v>
                </c:pt>
                <c:pt idx="2">
                  <c:v>Core</c:v>
                </c:pt>
              </c:strCache>
            </c:strRef>
          </c:cat>
          <c:val>
            <c:numRef>
              <c:f>Tabela_Dinâmica!$H$8:$H$10</c:f>
              <c:numCache>
                <c:formatCode>_("R$ "* #,##0.00_);_("R$ "* \(#,##0.00\);_("R$ "* "-"??_);_(@_)</c:formatCode>
                <c:ptCount val="3"/>
                <c:pt idx="0">
                  <c:v>5388</c:v>
                </c:pt>
                <c:pt idx="1">
                  <c:v>1801</c:v>
                </c:pt>
                <c:pt idx="2">
                  <c:v>444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"/>
        <c:holeSize val="50"/>
      </c:doughnutChart>
    </c:plotArea>
    <c:plotVisOnly val="1"/>
    <c:dispBlanksAs val="zero"/>
    <c:showDLblsOverMax val="0"/>
  </c:chart>
  <c:spPr>
    <a:noFill/>
    <a:ln>
      <a:noFill/>
    </a:ln>
    <a:effectLst>
      <a:outerShdw blurRad="63500" sx="102000" sy="102000" algn="ctr" rotWithShape="0">
        <a:schemeClr val="tx1">
          <a:alpha val="40000"/>
        </a:schemeClr>
      </a:outerShdw>
    </a:effectLst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[Criando um Dashboard de Vendas do Xbox com Excel.xlsm]Tabela_Dinâmica!Tabela dinâmica9</c:name>
    <c:fmtId val="7"/>
  </c:pivotSource>
  <c:chart>
    <c:title>
      <c:tx>
        <c:rich>
          <a:bodyPr/>
          <a:lstStyle/>
          <a:p>
            <a:pPr>
              <a:defRPr/>
            </a:pPr>
            <a:r>
              <a:rPr lang="pt-BR" sz="1800" b="1" i="0" u="none" strike="noStrike" baseline="0"/>
              <a:t>Nº de Assinantes e Faturamento – EA Play e Minecraft  </a:t>
            </a:r>
            <a:endParaRPr lang="pt-BR"/>
          </a:p>
        </c:rich>
      </c:tx>
      <c:layout>
        <c:manualLayout>
          <c:xMode val="edge"/>
          <c:yMode val="edge"/>
          <c:x val="0.2561849951124146"/>
          <c:y val="2.3004287492007374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ln>
            <a:noFill/>
          </a:ln>
        </c:spPr>
        <c:marker>
          <c:symbol val="none"/>
        </c:marker>
        <c:dLbl>
          <c:idx val="0"/>
          <c:spPr>
            <a:solidFill>
              <a:srgbClr val="E0E0E0"/>
            </a:solidFill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spPr>
          <a:ln>
            <a:noFill/>
          </a:ln>
        </c:spPr>
        <c:marker>
          <c:symbol val="none"/>
        </c:marker>
        <c:dLbl>
          <c:idx val="0"/>
          <c:spPr>
            <a:solidFill>
              <a:srgbClr val="E0E0E0"/>
            </a:solidFill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spPr>
          <a:ln>
            <a:noFill/>
          </a:ln>
        </c:spPr>
        <c:marker>
          <c:symbol val="none"/>
        </c:marker>
        <c:dLbl>
          <c:idx val="0"/>
          <c:spPr>
            <a:solidFill>
              <a:srgbClr val="E0E0E0"/>
            </a:solidFill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spPr>
          <a:ln>
            <a:noFill/>
          </a:ln>
        </c:spPr>
        <c:marker>
          <c:symbol val="none"/>
        </c:marker>
        <c:dLbl>
          <c:idx val="0"/>
          <c:spPr>
            <a:solidFill>
              <a:srgbClr val="E0E0E0"/>
            </a:solidFill>
          </c:spPr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spPr>
          <a:gradFill>
            <a:gsLst>
              <a:gs pos="0">
                <a:srgbClr val="FF0000"/>
              </a:gs>
              <a:gs pos="50000">
                <a:srgbClr val="FF4545"/>
              </a:gs>
              <a:gs pos="100000">
                <a:srgbClr val="FF4545"/>
              </a:gs>
            </a:gsLst>
            <a:lin ang="5400000" scaled="0"/>
          </a:gradFill>
          <a:ln w="12700">
            <a:noFill/>
            <a:bevel/>
          </a:ln>
          <a:effectLst>
            <a:outerShdw blurRad="50800" dist="50800" dir="8100000" algn="tr" rotWithShape="0">
              <a:srgbClr val="003714">
                <a:alpha val="30000"/>
              </a:srgbClr>
            </a:outerShdw>
          </a:effectLst>
        </c:spPr>
        <c:marker>
          <c:symbol val="none"/>
        </c:marker>
        <c:dLbl>
          <c:idx val="0"/>
          <c:layout/>
          <c:numFmt formatCode="&quot;R$ &quot;#,##0" sourceLinked="0"/>
          <c:spPr/>
          <c:txPr>
            <a:bodyPr/>
            <a:lstStyle/>
            <a:p>
              <a:pPr>
                <a:defRPr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spPr>
          <a:solidFill>
            <a:srgbClr val="00B786"/>
          </a:solidFill>
          <a:ln w="127000">
            <a:noFill/>
            <a:miter lim="800000"/>
          </a:ln>
          <a:effectLst>
            <a:outerShdw blurRad="50800" dist="508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layout/>
          <c:numFmt formatCode="&quot;R$ &quot;#,##0" sourceLinked="0"/>
          <c:spPr/>
          <c:txPr>
            <a:bodyPr/>
            <a:lstStyle/>
            <a:p>
              <a:pPr>
                <a:defRPr b="1">
                  <a:latin typeface="Arial" pitchFamily="34" charset="0"/>
                  <a:cs typeface="Arial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  <c:spPr>
          <a:noFill/>
          <a:ln>
            <a:noFill/>
          </a:ln>
        </c:spPr>
        <c:marker>
          <c:symbol val="none"/>
        </c:marker>
        <c:dLbl>
          <c:idx val="0"/>
          <c:layout/>
          <c:spPr>
            <a:noFill/>
          </c:spPr>
          <c:txPr>
            <a:bodyPr/>
            <a:lstStyle/>
            <a:p>
              <a:pPr>
                <a:defRPr sz="900">
                  <a:solidFill>
                    <a:schemeClr val="bg1"/>
                  </a:solidFill>
                  <a:effectLst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1"/>
        <c:spPr>
          <a:noFill/>
          <a:ln>
            <a:noFill/>
          </a:ln>
        </c:spPr>
        <c:marker>
          <c:symbol val="none"/>
        </c:marker>
        <c:dLbl>
          <c:idx val="0"/>
          <c:layout/>
          <c:spPr>
            <a:noFill/>
          </c:spPr>
          <c:txPr>
            <a:bodyPr/>
            <a:lstStyle/>
            <a:p>
              <a:pPr>
                <a:defRPr sz="900">
                  <a:solidFill>
                    <a:schemeClr val="bg1"/>
                  </a:solidFill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separator> </c:separator>
        </c:dLbl>
      </c:pivotFmt>
      <c:pivotFmt>
        <c:idx val="12"/>
      </c:pivotFmt>
    </c:pivotFmts>
    <c:plotArea>
      <c:layout>
        <c:manualLayout>
          <c:layoutTarget val="inner"/>
          <c:xMode val="edge"/>
          <c:yMode val="edge"/>
          <c:x val="6.0734602290312599E-2"/>
          <c:y val="0.15241698984369764"/>
          <c:w val="0.79258317858248217"/>
          <c:h val="0.77019652665448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Tabela_Dinâmica!$E$15:$E$16</c:f>
              <c:strCache>
                <c:ptCount val="1"/>
                <c:pt idx="0">
                  <c:v>Faturamento EA Play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rgbClr val="FF4545"/>
                </a:gs>
                <a:gs pos="100000">
                  <a:srgbClr val="FF4545"/>
                </a:gs>
              </a:gsLst>
              <a:lin ang="5400000" scaled="0"/>
            </a:gradFill>
            <a:ln w="12700">
              <a:noFill/>
              <a:bevel/>
            </a:ln>
            <a:effectLst>
              <a:outerShdw blurRad="50800" dist="50800" dir="8100000" algn="tr" rotWithShape="0">
                <a:srgbClr val="003714">
                  <a:alpha val="30000"/>
                </a:srgbClr>
              </a:outerShdw>
            </a:effectLst>
          </c:spPr>
          <c:invertIfNegative val="0"/>
          <c:dLbls>
            <c:numFmt formatCode="&quot;R$ &quot;#,##0" sourceLinked="0"/>
            <c:spPr/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Tabela_Dinâmica!$D$17:$D$28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Tabela_Dinâmica!$E$17:$E$28</c:f>
              <c:numCache>
                <c:formatCode>_("R$ "* #,##0.00_);_("R$ "* \(#,##0.00\);_("R$ "* "-"??_);_(@_)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330</c:v>
                </c:pt>
                <c:pt idx="10">
                  <c:v>300</c:v>
                </c:pt>
                <c:pt idx="11">
                  <c:v>150</c:v>
                </c:pt>
              </c:numCache>
            </c:numRef>
          </c:val>
        </c:ser>
        <c:ser>
          <c:idx val="1"/>
          <c:order val="1"/>
          <c:tx>
            <c:strRef>
              <c:f>Tabela_Dinâmica!$F$15:$F$16</c:f>
              <c:strCache>
                <c:ptCount val="1"/>
                <c:pt idx="0">
                  <c:v>Faturamento Minecraft</c:v>
                </c:pt>
              </c:strCache>
            </c:strRef>
          </c:tx>
          <c:spPr>
            <a:solidFill>
              <a:srgbClr val="00B786"/>
            </a:solidFill>
            <a:ln w="127000">
              <a:noFill/>
              <a:miter lim="800000"/>
            </a:ln>
            <a:effectLst>
              <a:outerShdw blurRad="50800" dist="508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&quot;R$ &quot;#,##0" sourceLinked="0"/>
            <c:spPr/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Tabela_Dinâmica!$D$17:$D$28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Tabela_Dinâmica!$F$17:$F$28</c:f>
              <c:numCache>
                <c:formatCode>_("R$ "* #,##0.00_);_("R$ "* \(#,##0.00\);_("R$ "* "-"??_);_(@_)</c:formatCode>
                <c:ptCount val="12"/>
                <c:pt idx="0">
                  <c:v>20</c:v>
                </c:pt>
                <c:pt idx="1">
                  <c:v>40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420</c:v>
                </c:pt>
                <c:pt idx="10">
                  <c:v>400</c:v>
                </c:pt>
                <c:pt idx="11">
                  <c:v>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50"/>
        <c:axId val="147059072"/>
        <c:axId val="147060608"/>
      </c:barChart>
      <c:barChart>
        <c:barDir val="col"/>
        <c:grouping val="clustered"/>
        <c:varyColors val="0"/>
        <c:ser>
          <c:idx val="2"/>
          <c:order val="2"/>
          <c:tx>
            <c:strRef>
              <c:f>Tabela_Dinâmica!$G$15:$G$16</c:f>
              <c:strCache>
                <c:ptCount val="1"/>
                <c:pt idx="0">
                  <c:v>Qtd EA Play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  <a:effectLst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Tabela_Dinâmica!$D$17:$D$28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Tabela_Dinâmica!$G$17:$G$28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11</c:v>
                </c:pt>
                <c:pt idx="10">
                  <c:v>10</c:v>
                </c:pt>
                <c:pt idx="11">
                  <c:v>5</c:v>
                </c:pt>
              </c:numCache>
            </c:numRef>
          </c:val>
        </c:ser>
        <c:ser>
          <c:idx val="3"/>
          <c:order val="3"/>
          <c:tx>
            <c:strRef>
              <c:f>Tabela_Dinâmica!$H$15:$H$16</c:f>
              <c:strCache>
                <c:ptCount val="1"/>
                <c:pt idx="0">
                  <c:v>Qtd Minecraft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spPr>
              <a:noFill/>
            </c:spPr>
            <c:txPr>
              <a:bodyPr/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</c:dLbls>
          <c:cat>
            <c:strRef>
              <c:f>Tabela_Dinâmica!$D$17:$D$28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Tabela_Dinâmica!$H$17:$H$28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21</c:v>
                </c:pt>
                <c:pt idx="10">
                  <c:v>20</c:v>
                </c:pt>
                <c:pt idx="1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50"/>
        <c:axId val="147073280"/>
        <c:axId val="147071360"/>
      </c:barChart>
      <c:catAx>
        <c:axId val="147059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crossAx val="147060608"/>
        <c:crosses val="autoZero"/>
        <c:auto val="1"/>
        <c:lblAlgn val="ctr"/>
        <c:lblOffset val="100"/>
        <c:noMultiLvlLbl val="0"/>
      </c:catAx>
      <c:valAx>
        <c:axId val="147060608"/>
        <c:scaling>
          <c:orientation val="minMax"/>
        </c:scaling>
        <c:delete val="0"/>
        <c:axPos val="l"/>
        <c:numFmt formatCode="_(&quot;R$ &quot;* #,##0.00_);_(&quot;R$ &quot;* \(#,##0.00\);_(&quot;R$ &quot;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rgbClr val="D4D3D5"/>
                </a:solidFill>
              </a:defRPr>
            </a:pPr>
            <a:endParaRPr lang="pt-BR"/>
          </a:p>
        </c:txPr>
        <c:crossAx val="147059072"/>
        <c:crosses val="autoZero"/>
        <c:crossBetween val="between"/>
      </c:valAx>
      <c:valAx>
        <c:axId val="147071360"/>
        <c:scaling>
          <c:orientation val="minMax"/>
          <c:max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rgbClr val="D4D3D5"/>
          </a:solidFill>
          <a:ln>
            <a:noFill/>
          </a:ln>
        </c:spPr>
        <c:txPr>
          <a:bodyPr/>
          <a:lstStyle/>
          <a:p>
            <a:pPr>
              <a:defRPr>
                <a:solidFill>
                  <a:srgbClr val="D4D3D5"/>
                </a:solidFill>
              </a:defRPr>
            </a:pPr>
            <a:endParaRPr lang="pt-BR"/>
          </a:p>
        </c:txPr>
        <c:crossAx val="147073280"/>
        <c:crosses val="max"/>
        <c:crossBetween val="between"/>
      </c:valAx>
      <c:catAx>
        <c:axId val="14707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147071360"/>
        <c:crosses val="autoZero"/>
        <c:auto val="1"/>
        <c:lblAlgn val="ctr"/>
        <c:lblOffset val="100"/>
        <c:noMultiLvlLbl val="0"/>
      </c:catAx>
      <c:spPr>
        <a:noFill/>
      </c:spPr>
    </c:plotArea>
    <c:legend>
      <c:legendPos val="r"/>
      <c:layout>
        <c:manualLayout>
          <c:xMode val="edge"/>
          <c:yMode val="edge"/>
          <c:x val="0.86449869664385814"/>
          <c:y val="0.1653778831587483"/>
          <c:w val="0.1281250407298794"/>
          <c:h val="0.26168494028243955"/>
        </c:manualLayout>
      </c:layout>
      <c:overlay val="0"/>
      <c:spPr>
        <a:ln w="53975"/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10.sv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15" Type="http://schemas.openxmlformats.org/officeDocument/2006/relationships/image" Target="../media/image6.png"/><Relationship Id="rId4" Type="http://schemas.openxmlformats.org/officeDocument/2006/relationships/chart" Target="../charts/chart4.xml"/><Relationship Id="rId1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95249</xdr:rowOff>
    </xdr:to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=""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26946225" y="10287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14</xdr:col>
      <xdr:colOff>304800</xdr:colOff>
      <xdr:row>6</xdr:row>
      <xdr:rowOff>95249</xdr:rowOff>
    </xdr:to>
    <xdr:sp macro="" textlink="">
      <xdr:nvSpPr>
        <xdr:cNvPr id="3" name="AutoShape 2" descr="Nintendo Switch Online bate marca de 36 milhões de assinantes - Nintendo  Blast">
          <a:extLst>
            <a:ext uri="{FF2B5EF4-FFF2-40B4-BE49-F238E27FC236}">
              <a16:creationId xmlns=""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28622625" y="10287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95249</xdr:rowOff>
    </xdr:to>
    <xdr:sp macro="" textlink="">
      <xdr:nvSpPr>
        <xdr:cNvPr id="2" name="AutoShape 1" descr="Nintendo Switch Online bate marca de 36 milhões de assinantes - Nintendo  Blast">
          <a:extLst>
            <a:ext uri="{FF2B5EF4-FFF2-40B4-BE49-F238E27FC236}">
              <a16:creationId xmlns=""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15811500" y="8001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304800</xdr:colOff>
      <xdr:row>6</xdr:row>
      <xdr:rowOff>95249</xdr:rowOff>
    </xdr:to>
    <xdr:sp macro="" textlink="">
      <xdr:nvSpPr>
        <xdr:cNvPr id="3" name="AutoShape 2" descr="Nintendo Switch Online bate marca de 36 milhões de assinantes - Nintendo  Blast">
          <a:extLst>
            <a:ext uri="{FF2B5EF4-FFF2-40B4-BE49-F238E27FC236}">
              <a16:creationId xmlns=""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17306925" y="800100"/>
          <a:ext cx="304800" cy="304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554428</xdr:colOff>
      <xdr:row>33</xdr:row>
      <xdr:rowOff>142165</xdr:rowOff>
    </xdr:from>
    <xdr:to>
      <xdr:col>4</xdr:col>
      <xdr:colOff>413652</xdr:colOff>
      <xdr:row>51</xdr:row>
      <xdr:rowOff>98391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Mê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9204" y="6241008"/>
              <a:ext cx="1224000" cy="32828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 fLocksWithSheet="0"/>
  </xdr:twoCellAnchor>
  <xdr:twoCellAnchor>
    <xdr:from>
      <xdr:col>10</xdr:col>
      <xdr:colOff>61699</xdr:colOff>
      <xdr:row>16</xdr:row>
      <xdr:rowOff>170598</xdr:rowOff>
    </xdr:from>
    <xdr:to>
      <xdr:col>16</xdr:col>
      <xdr:colOff>467371</xdr:colOff>
      <xdr:row>30</xdr:row>
      <xdr:rowOff>175210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28431</xdr:colOff>
      <xdr:row>16</xdr:row>
      <xdr:rowOff>170598</xdr:rowOff>
    </xdr:from>
    <xdr:to>
      <xdr:col>9</xdr:col>
      <xdr:colOff>434102</xdr:colOff>
      <xdr:row>30</xdr:row>
      <xdr:rowOff>175210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94969</xdr:colOff>
      <xdr:row>16</xdr:row>
      <xdr:rowOff>170598</xdr:rowOff>
    </xdr:from>
    <xdr:to>
      <xdr:col>23</xdr:col>
      <xdr:colOff>500641</xdr:colOff>
      <xdr:row>30</xdr:row>
      <xdr:rowOff>175210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42608</xdr:colOff>
      <xdr:row>8</xdr:row>
      <xdr:rowOff>14211</xdr:rowOff>
    </xdr:from>
    <xdr:to>
      <xdr:col>23</xdr:col>
      <xdr:colOff>182847</xdr:colOff>
      <xdr:row>8</xdr:row>
      <xdr:rowOff>14211</xdr:rowOff>
    </xdr:to>
    <xdr:cxnSp macro="">
      <xdr:nvCxnSpPr>
        <xdr:cNvPr id="11" name="Conector reto 10"/>
        <xdr:cNvCxnSpPr/>
      </xdr:nvCxnSpPr>
      <xdr:spPr>
        <a:xfrm>
          <a:off x="2089772" y="1492718"/>
          <a:ext cx="13788000" cy="0"/>
        </a:xfrm>
        <a:prstGeom prst="line">
          <a:avLst/>
        </a:prstGeom>
        <a:ln w="57150">
          <a:solidFill>
            <a:srgbClr val="C4C3C4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  <a:reflection blurRad="6350" stA="50000" endA="300" endPos="90000" dist="508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639731</xdr:colOff>
      <xdr:row>11</xdr:row>
      <xdr:rowOff>56869</xdr:rowOff>
    </xdr:from>
    <xdr:to>
      <xdr:col>6</xdr:col>
      <xdr:colOff>464567</xdr:colOff>
      <xdr:row>16</xdr:row>
      <xdr:rowOff>14802</xdr:rowOff>
    </xdr:to>
    <xdr:sp macro="" textlink="Tabela_Dinâmica!$B$3">
      <xdr:nvSpPr>
        <xdr:cNvPr id="14" name="Retângulo 13"/>
        <xdr:cNvSpPr/>
      </xdr:nvSpPr>
      <xdr:spPr>
        <a:xfrm>
          <a:off x="2686895" y="2089817"/>
          <a:ext cx="1872000" cy="88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C3ED327E-C8F4-43B8-BDD3-D29B562387FB}" type="TxLink">
            <a:rPr lang="pt-BR" sz="2400" b="1">
              <a:solidFill>
                <a:sysClr val="windowText" lastClr="000000"/>
              </a:solidFill>
            </a:rPr>
            <a:pPr algn="r"/>
            <a:t>295</a:t>
          </a:fld>
          <a:endParaRPr lang="pt-B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483342</xdr:colOff>
      <xdr:row>11</xdr:row>
      <xdr:rowOff>56874</xdr:rowOff>
    </xdr:from>
    <xdr:to>
      <xdr:col>11</xdr:col>
      <xdr:colOff>129789</xdr:colOff>
      <xdr:row>16</xdr:row>
      <xdr:rowOff>14807</xdr:rowOff>
    </xdr:to>
    <xdr:sp macro="" textlink="Tabela_Dinâmica!$D$3">
      <xdr:nvSpPr>
        <xdr:cNvPr id="15" name="Retângulo 14"/>
        <xdr:cNvSpPr/>
      </xdr:nvSpPr>
      <xdr:spPr>
        <a:xfrm>
          <a:off x="5260058" y="2089822"/>
          <a:ext cx="2376000" cy="88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28B8CBAB-0047-4A64-B9A4-F51609B415FC}" type="TxLink">
            <a:rPr lang="pt-BR" sz="2400" b="1">
              <a:solidFill>
                <a:sysClr val="windowText" lastClr="000000"/>
              </a:solidFill>
            </a:rPr>
            <a:pPr algn="r"/>
            <a:t>R$ 7.633,00</a:t>
          </a:fld>
          <a:endParaRPr lang="pt-B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28420</xdr:colOff>
      <xdr:row>11</xdr:row>
      <xdr:rowOff>42646</xdr:rowOff>
    </xdr:from>
    <xdr:to>
      <xdr:col>15</xdr:col>
      <xdr:colOff>483345</xdr:colOff>
      <xdr:row>16</xdr:row>
      <xdr:rowOff>6</xdr:rowOff>
    </xdr:to>
    <xdr:sp macro="" textlink="Tabela_Dinâmica!$G$3">
      <xdr:nvSpPr>
        <xdr:cNvPr id="16" name="Retângulo 15"/>
        <xdr:cNvSpPr/>
      </xdr:nvSpPr>
      <xdr:spPr>
        <a:xfrm>
          <a:off x="8217077" y="2075594"/>
          <a:ext cx="2502089" cy="8814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E65C9849-106E-4F66-BA87-97327EE1883F}" type="TxLink">
            <a:rPr lang="pt-BR" sz="2400" b="1">
              <a:solidFill>
                <a:sysClr val="windowText" lastClr="000000"/>
              </a:solidFill>
            </a:rPr>
            <a:pPr algn="r"/>
            <a:t>50,00%</a:t>
          </a:fld>
          <a:endParaRPr lang="pt-B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540224</xdr:colOff>
      <xdr:row>32</xdr:row>
      <xdr:rowOff>184812</xdr:rowOff>
    </xdr:from>
    <xdr:to>
      <xdr:col>23</xdr:col>
      <xdr:colOff>498851</xdr:colOff>
      <xdr:row>50</xdr:row>
      <xdr:rowOff>170596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676163</xdr:colOff>
      <xdr:row>1</xdr:row>
      <xdr:rowOff>163086</xdr:rowOff>
    </xdr:from>
    <xdr:to>
      <xdr:col>7</xdr:col>
      <xdr:colOff>493461</xdr:colOff>
      <xdr:row>6</xdr:row>
      <xdr:rowOff>85298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40939" y="347899"/>
          <a:ext cx="3229238" cy="846280"/>
        </a:xfrm>
        <a:prstGeom prst="rect">
          <a:avLst/>
        </a:prstGeom>
      </xdr:spPr>
    </xdr:pic>
    <xdr:clientData/>
  </xdr:twoCellAnchor>
  <xdr:twoCellAnchor>
    <xdr:from>
      <xdr:col>7</xdr:col>
      <xdr:colOff>603971</xdr:colOff>
      <xdr:row>1</xdr:row>
      <xdr:rowOff>152252</xdr:rowOff>
    </xdr:from>
    <xdr:to>
      <xdr:col>24</xdr:col>
      <xdr:colOff>42598</xdr:colOff>
      <xdr:row>7</xdr:row>
      <xdr:rowOff>42649</xdr:rowOff>
    </xdr:to>
    <xdr:sp macro="" textlink="">
      <xdr:nvSpPr>
        <xdr:cNvPr id="3" name="CaixaDeTexto 2"/>
        <xdr:cNvSpPr txBox="1"/>
      </xdr:nvSpPr>
      <xdr:spPr>
        <a:xfrm>
          <a:off x="5380687" y="337065"/>
          <a:ext cx="11039224" cy="999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5400" b="0">
              <a:solidFill>
                <a:srgbClr val="107C10"/>
              </a:solidFill>
              <a:latin typeface="Arial" pitchFamily="34" charset="0"/>
              <a:cs typeface="Arial" pitchFamily="34" charset="0"/>
            </a:rPr>
            <a:t>- Painel</a:t>
          </a:r>
          <a:r>
            <a:rPr lang="pt-BR" sz="5400" b="0" baseline="0">
              <a:solidFill>
                <a:srgbClr val="107C10"/>
              </a:solidFill>
              <a:latin typeface="Arial" pitchFamily="34" charset="0"/>
              <a:cs typeface="Arial" pitchFamily="34" charset="0"/>
            </a:rPr>
            <a:t> </a:t>
          </a:r>
          <a:r>
            <a:rPr lang="pt-BR" sz="5400" b="0">
              <a:solidFill>
                <a:srgbClr val="107C10"/>
              </a:solidFill>
              <a:latin typeface="Arial" pitchFamily="34" charset="0"/>
              <a:cs typeface="Arial" pitchFamily="34" charset="0"/>
            </a:rPr>
            <a:t>de Assinaturas e Receitas </a:t>
          </a:r>
        </a:p>
      </xdr:txBody>
    </xdr:sp>
    <xdr:clientData/>
  </xdr:twoCellAnchor>
  <xdr:twoCellAnchor>
    <xdr:from>
      <xdr:col>3</xdr:col>
      <xdr:colOff>383904</xdr:colOff>
      <xdr:row>13</xdr:row>
      <xdr:rowOff>142161</xdr:rowOff>
    </xdr:from>
    <xdr:to>
      <xdr:col>6</xdr:col>
      <xdr:colOff>469202</xdr:colOff>
      <xdr:row>15</xdr:row>
      <xdr:rowOff>128935</xdr:rowOff>
    </xdr:to>
    <xdr:sp macro="" textlink="">
      <xdr:nvSpPr>
        <xdr:cNvPr id="6" name="CaixaDeTexto 5"/>
        <xdr:cNvSpPr txBox="1"/>
      </xdr:nvSpPr>
      <xdr:spPr>
        <a:xfrm>
          <a:off x="2431068" y="2544736"/>
          <a:ext cx="2132462" cy="356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600" b="1">
              <a:solidFill>
                <a:sysClr val="windowText" lastClr="000000"/>
              </a:solidFill>
              <a:latin typeface="+mn-lt"/>
              <a:cs typeface="Segoe UI" pitchFamily="34" charset="0"/>
            </a:rPr>
            <a:t>Assinantes</a:t>
          </a:r>
        </a:p>
      </xdr:txBody>
    </xdr:sp>
    <xdr:clientData/>
  </xdr:twoCellAnchor>
  <xdr:twoCellAnchor>
    <xdr:from>
      <xdr:col>11</xdr:col>
      <xdr:colOff>526025</xdr:colOff>
      <xdr:row>13</xdr:row>
      <xdr:rowOff>142154</xdr:rowOff>
    </xdr:from>
    <xdr:to>
      <xdr:col>15</xdr:col>
      <xdr:colOff>469160</xdr:colOff>
      <xdr:row>15</xdr:row>
      <xdr:rowOff>184809</xdr:rowOff>
    </xdr:to>
    <xdr:sp macro="" textlink="">
      <xdr:nvSpPr>
        <xdr:cNvPr id="18" name="CaixaDeTexto 17"/>
        <xdr:cNvSpPr txBox="1"/>
      </xdr:nvSpPr>
      <xdr:spPr>
        <a:xfrm>
          <a:off x="8032294" y="2544729"/>
          <a:ext cx="2672687" cy="412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600" b="1">
              <a:solidFill>
                <a:schemeClr val="dk1"/>
              </a:solidFill>
              <a:latin typeface="+mn-lt"/>
              <a:ea typeface="+mn-ea"/>
              <a:cs typeface="Segoe UI" pitchFamily="34" charset="0"/>
            </a:rPr>
            <a:t>Renovação Automática </a:t>
          </a:r>
        </a:p>
      </xdr:txBody>
    </xdr:sp>
    <xdr:clientData/>
  </xdr:twoCellAnchor>
  <xdr:twoCellAnchor>
    <xdr:from>
      <xdr:col>8</xdr:col>
      <xdr:colOff>42706</xdr:colOff>
      <xdr:row>13</xdr:row>
      <xdr:rowOff>142163</xdr:rowOff>
    </xdr:from>
    <xdr:to>
      <xdr:col>11</xdr:col>
      <xdr:colOff>128003</xdr:colOff>
      <xdr:row>15</xdr:row>
      <xdr:rowOff>127948</xdr:rowOff>
    </xdr:to>
    <xdr:sp macro="" textlink="">
      <xdr:nvSpPr>
        <xdr:cNvPr id="19" name="CaixaDeTexto 18"/>
        <xdr:cNvSpPr txBox="1"/>
      </xdr:nvSpPr>
      <xdr:spPr>
        <a:xfrm>
          <a:off x="5501810" y="2544738"/>
          <a:ext cx="2132462" cy="355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600" b="1"/>
            <a:t>Faturamento (R$)</a:t>
          </a:r>
          <a:endParaRPr lang="pt-BR" sz="1600" b="1">
            <a:latin typeface="+mn-lt"/>
            <a:cs typeface="Segoe UI" pitchFamily="34" charset="0"/>
          </a:endParaRPr>
        </a:p>
      </xdr:txBody>
    </xdr:sp>
    <xdr:clientData/>
  </xdr:twoCellAnchor>
  <xdr:twoCellAnchor editAs="oneCell">
    <xdr:from>
      <xdr:col>19</xdr:col>
      <xdr:colOff>497600</xdr:colOff>
      <xdr:row>32</xdr:row>
      <xdr:rowOff>42650</xdr:rowOff>
    </xdr:from>
    <xdr:to>
      <xdr:col>21</xdr:col>
      <xdr:colOff>170623</xdr:colOff>
      <xdr:row>36</xdr:row>
      <xdr:rowOff>175435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62973" y="5956680"/>
          <a:ext cx="1037799" cy="872039"/>
        </a:xfrm>
        <a:prstGeom prst="rect">
          <a:avLst/>
        </a:prstGeom>
      </xdr:spPr>
    </xdr:pic>
    <xdr:clientData/>
  </xdr:twoCellAnchor>
  <xdr:twoCellAnchor editAs="absolute">
    <xdr:from>
      <xdr:col>21</xdr:col>
      <xdr:colOff>170639</xdr:colOff>
      <xdr:row>33</xdr:row>
      <xdr:rowOff>17771</xdr:rowOff>
    </xdr:from>
    <xdr:to>
      <xdr:col>22</xdr:col>
      <xdr:colOff>470173</xdr:colOff>
      <xdr:row>35</xdr:row>
      <xdr:rowOff>42650</xdr:rowOff>
    </xdr:to>
    <xdr:grpSp>
      <xdr:nvGrpSpPr>
        <xdr:cNvPr id="24" name="Agrupar 16">
          <a:extLst>
            <a:ext uri="{FF2B5EF4-FFF2-40B4-BE49-F238E27FC236}">
              <a16:creationId xmlns=""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4500788" y="6116614"/>
          <a:ext cx="981922" cy="394506"/>
          <a:chOff x="3495675" y="5400674"/>
          <a:chExt cx="1549476" cy="752476"/>
        </a:xfrm>
      </xdr:grpSpPr>
      <xdr:pic>
        <xdr:nvPicPr>
          <xdr:cNvPr id="25" name="Imagem 24">
            <a:extLst>
              <a:ext uri="{FF2B5EF4-FFF2-40B4-BE49-F238E27FC236}">
                <a16:creationId xmlns=""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26" name="Gráfico 13">
            <a:extLst>
              <a:ext uri="{FF2B5EF4-FFF2-40B4-BE49-F238E27FC236}">
                <a16:creationId xmlns=""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96DAC541-7B7A-43D3-8B79-37D633B846F1}">
                <asvg:svgBlip xmlns=""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232098</xdr:colOff>
      <xdr:row>38</xdr:row>
      <xdr:rowOff>118377</xdr:rowOff>
    </xdr:from>
    <xdr:to>
      <xdr:col>21</xdr:col>
      <xdr:colOff>268098</xdr:colOff>
      <xdr:row>38</xdr:row>
      <xdr:rowOff>154377</xdr:rowOff>
    </xdr:to>
    <xdr:sp macro="" textlink="">
      <xdr:nvSpPr>
        <xdr:cNvPr id="13" name="Retângulo 12"/>
        <xdr:cNvSpPr/>
      </xdr:nvSpPr>
      <xdr:spPr>
        <a:xfrm flipH="1" flipV="1">
          <a:off x="14562247" y="7141287"/>
          <a:ext cx="36000" cy="36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97764</xdr:colOff>
      <xdr:row>16</xdr:row>
      <xdr:rowOff>183314</xdr:rowOff>
    </xdr:from>
    <xdr:to>
      <xdr:col>18</xdr:col>
      <xdr:colOff>28436</xdr:colOff>
      <xdr:row>20</xdr:row>
      <xdr:rowOff>57120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8361" y="3140329"/>
          <a:ext cx="613060" cy="613060"/>
        </a:xfrm>
        <a:prstGeom prst="rect">
          <a:avLst/>
        </a:prstGeom>
      </xdr:spPr>
    </xdr:pic>
    <xdr:clientData/>
  </xdr:twoCellAnchor>
  <xdr:twoCellAnchor>
    <xdr:from>
      <xdr:col>21</xdr:col>
      <xdr:colOff>227496</xdr:colOff>
      <xdr:row>39</xdr:row>
      <xdr:rowOff>156392</xdr:rowOff>
    </xdr:from>
    <xdr:to>
      <xdr:col>21</xdr:col>
      <xdr:colOff>263496</xdr:colOff>
      <xdr:row>40</xdr:row>
      <xdr:rowOff>7579</xdr:rowOff>
    </xdr:to>
    <xdr:sp macro="" textlink="">
      <xdr:nvSpPr>
        <xdr:cNvPr id="45" name="Retângulo 44"/>
        <xdr:cNvSpPr/>
      </xdr:nvSpPr>
      <xdr:spPr>
        <a:xfrm flipH="1" flipV="1">
          <a:off x="14557645" y="7364116"/>
          <a:ext cx="36000" cy="360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25</xdr:col>
      <xdr:colOff>554445</xdr:colOff>
      <xdr:row>45</xdr:row>
      <xdr:rowOff>0</xdr:rowOff>
    </xdr:from>
    <xdr:to>
      <xdr:col>27</xdr:col>
      <xdr:colOff>166194</xdr:colOff>
      <xdr:row>49</xdr:row>
      <xdr:rowOff>73276</xdr:rowOff>
    </xdr:to>
    <xdr:pic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4146" y="8316604"/>
          <a:ext cx="976526" cy="812530"/>
        </a:xfrm>
        <a:prstGeom prst="rect">
          <a:avLst/>
        </a:prstGeom>
      </xdr:spPr>
    </xdr:pic>
    <xdr:clientData/>
  </xdr:twoCellAnchor>
  <xdr:oneCellAnchor>
    <xdr:from>
      <xdr:col>25</xdr:col>
      <xdr:colOff>383832</xdr:colOff>
      <xdr:row>49</xdr:row>
      <xdr:rowOff>0</xdr:rowOff>
    </xdr:from>
    <xdr:ext cx="1329788" cy="510396"/>
    <xdr:sp macro="" textlink="">
      <xdr:nvSpPr>
        <xdr:cNvPr id="48" name="CaixaDeTexto 47"/>
        <xdr:cNvSpPr txBox="1"/>
      </xdr:nvSpPr>
      <xdr:spPr>
        <a:xfrm>
          <a:off x="17443533" y="9055858"/>
          <a:ext cx="1329788" cy="5103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>
              <a:latin typeface="Z003" pitchFamily="2" charset="0"/>
            </a:rPr>
            <a:t>Katielly Santos</a:t>
          </a:r>
        </a:p>
        <a:p>
          <a:pPr algn="ctr"/>
          <a:r>
            <a:rPr lang="pt-BR" sz="1000" b="0">
              <a:latin typeface="+mn-lt"/>
              <a:cs typeface="Calibri" pitchFamily="34" charset="0"/>
            </a:rPr>
            <a:t>Analista de Dados</a:t>
          </a:r>
        </a:p>
      </xdr:txBody>
    </xdr:sp>
    <xdr:clientData/>
  </xdr:oneCellAnchor>
  <xdr:twoCellAnchor editAs="oneCell">
    <xdr:from>
      <xdr:col>10</xdr:col>
      <xdr:colOff>22848</xdr:colOff>
      <xdr:row>16</xdr:row>
      <xdr:rowOff>179338</xdr:rowOff>
    </xdr:from>
    <xdr:to>
      <xdr:col>10</xdr:col>
      <xdr:colOff>635908</xdr:colOff>
      <xdr:row>20</xdr:row>
      <xdr:rowOff>53144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6729" y="3136353"/>
          <a:ext cx="613060" cy="613060"/>
        </a:xfrm>
        <a:prstGeom prst="rect">
          <a:avLst/>
        </a:prstGeom>
      </xdr:spPr>
    </xdr:pic>
    <xdr:clientData/>
  </xdr:twoCellAnchor>
  <xdr:twoCellAnchor editAs="oneCell">
    <xdr:from>
      <xdr:col>3</xdr:col>
      <xdr:colOff>33229</xdr:colOff>
      <xdr:row>17</xdr:row>
      <xdr:rowOff>4765</xdr:rowOff>
    </xdr:from>
    <xdr:to>
      <xdr:col>3</xdr:col>
      <xdr:colOff>646289</xdr:colOff>
      <xdr:row>20</xdr:row>
      <xdr:rowOff>63384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0393" y="3146593"/>
          <a:ext cx="613060" cy="6130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676275</xdr:colOff>
      <xdr:row>0</xdr:row>
      <xdr:rowOff>114301</xdr:rowOff>
    </xdr:from>
    <xdr:to>
      <xdr:col>17</xdr:col>
      <xdr:colOff>666749</xdr:colOff>
      <xdr:row>50</xdr:row>
      <xdr:rowOff>114301</xdr:rowOff>
    </xdr:to>
    <xdr:sp macro="" textlink="">
      <xdr:nvSpPr>
        <xdr:cNvPr id="2" name="CaixaDeTexto 1"/>
        <xdr:cNvSpPr txBox="1"/>
      </xdr:nvSpPr>
      <xdr:spPr>
        <a:xfrm>
          <a:off x="1362075" y="114301"/>
          <a:ext cx="10963274" cy="9048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1">
              <a:solidFill>
                <a:srgbClr val="008A5D"/>
              </a:solidFill>
              <a:latin typeface="Calibri (Corpo)"/>
            </a:rPr>
            <a:t>RELATÓRIO – ASSINATURAS E RECEITAS</a:t>
          </a:r>
        </a:p>
        <a:p>
          <a:pPr algn="l"/>
          <a:r>
            <a:rPr lang="pt-BR">
              <a:latin typeface="Calibri (Corpo)"/>
            </a:rPr>
            <a:t/>
          </a:r>
          <a:br>
            <a:rPr lang="pt-BR">
              <a:latin typeface="Calibri (Corpo)"/>
            </a:rPr>
          </a:br>
          <a:r>
            <a:rPr lang="pt-BR" b="1">
              <a:latin typeface="Calibri (Corpo)"/>
            </a:rPr>
            <a:t>Problema de Negócio</a:t>
          </a:r>
        </a:p>
        <a:p>
          <a:r>
            <a:rPr lang="pt-BR">
              <a:latin typeface="Calibri (Corpo)"/>
            </a:rPr>
            <a:t>A empresa não possuía uma visão consolidada sobre o comportamento dos assinantes nem sobre o desempenho financeiro dos Passes de Temporada. As informações estavam distribuídas em registros isolados, dificultando a identificação dos planos mais rentáveis, do número total de assinaturas e da participação individual dos Passes</a:t>
          </a:r>
          <a:r>
            <a:rPr lang="pt-BR" baseline="0">
              <a:latin typeface="Calibri (Corpo)"/>
            </a:rPr>
            <a:t> </a:t>
          </a:r>
          <a:r>
            <a:rPr lang="pt-BR">
              <a:latin typeface="Calibri (Corpo)"/>
            </a:rPr>
            <a:t>do EA Play e do Minecraft no faturamento. Essa falta de centralização prejudicava decisões estratégicas sobre precificação, campanhas de renovação e projeções de receita.</a:t>
          </a: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Contexto</a:t>
          </a:r>
        </a:p>
        <a:p>
          <a:r>
            <a:rPr lang="pt-BR">
              <a:latin typeface="Calibri (Corpo)"/>
            </a:rPr>
            <a:t>Foram adicionados novos campos para ampliar a capacidade analítica, incluindo: mês, quantidade de assinaturas EA, quantidade de assinaturas Minecraft, faturamento EA Play e faturamento Minecraft.</a:t>
          </a:r>
        </a:p>
        <a:p>
          <a:r>
            <a:rPr lang="pt-BR">
              <a:latin typeface="Calibri (Corpo)"/>
            </a:rPr>
            <a:t>Com esses dados estruturados, foi possível construir um dashboard no Excel contendo KPIs, gráficos de distribuição, análise percentual, comparativos entre planos e um filtro principal por mês.</a:t>
          </a: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Premissas da Análise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O mês foi derivado diretamente da coluna data de início, permitindo avaliações de sazonalidade.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Os valores de faturamento foram somados tanto por plano quanto por Passe, considerando cupom aplicado quando presente.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Os dados representam um cenário simulado com foco analítico e não correspondem a valores reais.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A análise considera o período apresentado na planilha.</a:t>
          </a: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Estratégia da Solução</a:t>
          </a:r>
        </a:p>
        <a:p>
          <a:endParaRPr lang="pt-BR" b="1">
            <a:latin typeface="Calibri (Corpo)"/>
          </a:endParaRPr>
        </a:p>
        <a:p>
          <a:r>
            <a:rPr lang="pt-BR" b="1">
              <a:latin typeface="Calibri (Corpo)"/>
            </a:rPr>
            <a:t>1.Estruturação e enriquecimento dos dados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Extração do mês a partir da data de início.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Criação das colunas de EA_Qtd e Mine_Qtd para medir a adesão a cada Passe.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/>
            <a:t>Construção dos campos de Faturamento EA Play e Faturamento Minecraft, unindo o preço do passe ao faturamento de cada campo. </a:t>
          </a:r>
          <a:endParaRPr lang="pt-BR">
            <a:latin typeface="Calibri (Corpo)"/>
          </a:endParaRP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2.Construção das análises</a:t>
          </a:r>
        </a:p>
        <a:p>
          <a:r>
            <a:rPr lang="pt-BR">
              <a:latin typeface="Calibri (Corpo)"/>
            </a:rPr>
            <a:t>Foram criadas tabelas dinâmicas para: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Total de assinaturas distribuídas entre anual, mensal e trimestral. 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Quantidade de assinantes por plano.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Total de faturamento</a:t>
          </a:r>
          <a:r>
            <a:rPr lang="pt-BR" baseline="0">
              <a:latin typeface="Calibri (Corpo)"/>
            </a:rPr>
            <a:t> </a:t>
          </a:r>
          <a:r>
            <a:rPr lang="pt-BR">
              <a:latin typeface="Calibri (Corpo)"/>
            </a:rPr>
            <a:t>por plano.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Número de assinantes e faturamento de EA e Minecraft lado a lado para comparação.</a:t>
          </a: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3. Desenvolvimento do dashboard</a:t>
          </a:r>
        </a:p>
        <a:p>
          <a:r>
            <a:rPr lang="pt-BR">
              <a:latin typeface="Calibri (Corpo)"/>
            </a:rPr>
            <a:t>O dashboard inclui: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  <a:r>
            <a:rPr lang="pt-BR">
              <a:latin typeface="Calibri (Corpo)"/>
            </a:rPr>
            <a:t>KPIs principais</a:t>
          </a:r>
          <a:br>
            <a:rPr lang="pt-BR">
              <a:latin typeface="Calibri (Corpo)"/>
            </a:rPr>
          </a:b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Total de Assinantes</a:t>
          </a:r>
          <a:br>
            <a:rPr lang="pt-BR">
              <a:latin typeface="Calibri (Corpo)"/>
            </a:rPr>
          </a:b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Faturamento Total</a:t>
          </a:r>
          <a:br>
            <a:rPr lang="pt-BR">
              <a:latin typeface="Calibri (Corpo)"/>
            </a:rPr>
          </a:b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 </a:t>
          </a:r>
          <a:r>
            <a:rPr lang="pt-BR">
              <a:latin typeface="Calibri (Corpo)"/>
            </a:rPr>
            <a:t>Percentual de Renovação Automática</a:t>
          </a:r>
        </a:p>
        <a:p>
          <a:endParaRPr lang="pt-BR">
            <a:latin typeface="Calibri (Corpo)"/>
          </a:endParaRPr>
        </a:p>
        <a:p>
          <a:r>
            <a:rPr lang="pt-BR">
              <a:latin typeface="Calibri (Corpo)"/>
            </a:rPr>
            <a:t>   Gráficos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  •</a:t>
          </a:r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Percentual por tipo de assinatura</a:t>
          </a:r>
          <a:r>
            <a:rPr lang="pt-BR">
              <a:latin typeface="Calibri (Corpo)"/>
            </a:rPr>
            <a:t/>
          </a:r>
          <a:br>
            <a:rPr lang="pt-BR">
              <a:latin typeface="Calibri (Corpo)"/>
            </a:rPr>
          </a:br>
          <a:r>
            <a:rPr lang="pt-BR">
              <a:latin typeface="Calibri (Corpo)"/>
            </a:rPr>
            <a:t>  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Participação por plano</a:t>
          </a:r>
          <a:br>
            <a:rPr lang="pt-BR">
              <a:latin typeface="Calibri (Corpo)"/>
            </a:rPr>
          </a:br>
          <a:r>
            <a:rPr lang="pt-BR">
              <a:latin typeface="Calibri (Corpo)"/>
            </a:rPr>
            <a:t>  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Faturamento por plano (R$)</a:t>
          </a:r>
          <a:br>
            <a:rPr lang="pt-BR">
              <a:latin typeface="Calibri (Corpo)"/>
            </a:rPr>
          </a:br>
          <a:r>
            <a:rPr lang="pt-BR">
              <a:latin typeface="Calibri (Corpo)"/>
            </a:rPr>
            <a:t>   </a:t>
          </a: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• </a:t>
          </a:r>
          <a:r>
            <a:rPr lang="pt-BR">
              <a:latin typeface="Calibri (Corpo)"/>
            </a:rPr>
            <a:t>Comparativo entre número de assinantes e faturamento de EA Play e Minecraft</a:t>
          </a:r>
          <a:br>
            <a:rPr lang="pt-BR">
              <a:latin typeface="Calibri (Corpo)"/>
            </a:rPr>
          </a:br>
          <a:endParaRPr lang="pt-BR">
            <a:latin typeface="Calibri (Corpo)"/>
          </a:endParaRPr>
        </a:p>
        <a:p>
          <a:r>
            <a:rPr lang="pt-BR">
              <a:latin typeface="Calibri (Corpo)"/>
            </a:rPr>
            <a:t>   Filtro</a:t>
          </a:r>
          <a:br>
            <a:rPr lang="pt-BR">
              <a:latin typeface="Calibri (Corpo)"/>
            </a:rPr>
          </a:br>
          <a:r>
            <a:rPr lang="pt-BR">
              <a:latin typeface="Calibri (Corpo)"/>
            </a:rPr>
            <a:t>    Mês</a:t>
          </a:r>
        </a:p>
        <a:p>
          <a:r>
            <a:rPr lang="pt-BR">
              <a:latin typeface="Calibri (Corpo)"/>
            </a:rPr>
            <a:t>Esse filtro único permite visualizar a performance mensal, identificando picos de venda.</a:t>
          </a:r>
        </a:p>
        <a:p>
          <a:endParaRPr lang="pt-BR">
            <a:latin typeface="Calibri (Corpo)"/>
          </a:endParaRPr>
        </a:p>
        <a:p>
          <a:r>
            <a:rPr lang="pt-BR" b="1">
              <a:latin typeface="Calibri (Corpo)"/>
            </a:rPr>
            <a:t>Insights da Análise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•</a:t>
          </a:r>
          <a:r>
            <a:rPr lang="pt-BR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pt-BR">
              <a:latin typeface="Calibri (Corpo)"/>
            </a:rPr>
            <a:t>A análise mensal mostrou variações claras na quantidade de assinaturas, indicando períodos de maior movimento e meses com menor adesão.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• </a:t>
          </a:r>
          <a:r>
            <a:rPr lang="pt-BR">
              <a:latin typeface="Calibri (Corpo)"/>
            </a:rPr>
            <a:t>O comparativo entre EA Play e Minecraft evidenciou qual Passe</a:t>
          </a:r>
          <a:r>
            <a:rPr lang="pt-BR" baseline="0">
              <a:latin typeface="Calibri (Corpo)"/>
            </a:rPr>
            <a:t> </a:t>
          </a:r>
          <a:r>
            <a:rPr lang="pt-BR">
              <a:latin typeface="Calibri (Corpo)"/>
            </a:rPr>
            <a:t>tem maior aceitação, tanto em quantidade de assinantes quanto em faturamento.</a:t>
          </a:r>
        </a:p>
        <a:p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 • </a:t>
          </a:r>
          <a:r>
            <a:rPr lang="pt-BR">
              <a:latin typeface="Calibri (Corpo)"/>
            </a:rPr>
            <a:t>A distribuição por plano revelou os formatos com maior participação no faturamento total, permitindo observar a relação entre preço e quantidade de compras.</a:t>
          </a:r>
        </a:p>
        <a:p>
          <a:endParaRPr lang="pt-BR" sz="1100">
            <a:latin typeface="Calibri (Corpo)"/>
          </a:endParaRPr>
        </a:p>
      </xdr:txBody>
    </xdr:sp>
    <xdr:clientData/>
  </xdr:twoCellAnchor>
  <xdr:twoCellAnchor editAs="oneCell">
    <xdr:from>
      <xdr:col>5</xdr:col>
      <xdr:colOff>381001</xdr:colOff>
      <xdr:row>0</xdr:row>
      <xdr:rowOff>0</xdr:rowOff>
    </xdr:from>
    <xdr:to>
      <xdr:col>6</xdr:col>
      <xdr:colOff>371475</xdr:colOff>
      <xdr:row>3</xdr:row>
      <xdr:rowOff>19777</xdr:rowOff>
    </xdr:to>
    <xdr:pic>
      <xdr:nvPicPr>
        <xdr:cNvPr id="4" name="Imagem 3" descr="Captura_de_tela_de_2025-09-11_12-10-35-removebg-preview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1" y="0"/>
          <a:ext cx="676274" cy="56270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ty" refreshedDate="45984.516631828701" createdVersion="4" refreshedVersion="4" minRefreshableVersion="3" recordCount="295">
  <cacheSource type="worksheet">
    <worksheetSource name="Tabela2"/>
  </cacheSource>
  <cacheFields count="18">
    <cacheField name="ID do Assinante" numFmtId="0">
      <sharedItems containsSemiMixedTypes="0" containsString="0" containsNumber="1" containsInteger="1" minValue="3231" maxValue="3525"/>
    </cacheField>
    <cacheField name="Nome" numFmtId="0">
      <sharedItems/>
    </cacheField>
    <cacheField name="Plano" numFmtId="0">
      <sharedItems count="3">
        <s v="Ultimate"/>
        <s v="Core"/>
        <s v="Standard"/>
      </sharedItems>
    </cacheField>
    <cacheField name="Data de Início" numFmtId="14">
      <sharedItems containsSemiMixedTypes="0" containsNonDate="0" containsDate="1" containsString="0" minDate="2024-01-01T00:00:00" maxDate="2024-12-17T00:00:00"/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Renovação Automática" numFmtId="0">
      <sharedItems count="2">
        <s v="Sim"/>
        <s v="Não"/>
      </sharedItems>
    </cacheField>
    <cacheField name="Preço da Assinatura" numFmtId="165">
      <sharedItems containsSemiMixedTypes="0" containsString="0" containsNumber="1" containsInteger="1" minValue="5" maxValue="15"/>
    </cacheField>
    <cacheField name="Tipo de Assinatura" numFmtId="0">
      <sharedItems count="3">
        <s v="Mensal"/>
        <s v="Anual"/>
        <s v="Trimestral"/>
      </sharedItems>
    </cacheField>
    <cacheField name="Passe de Temporada do EA Play" numFmtId="0">
      <sharedItems/>
    </cacheField>
    <cacheField name="Preço EA Play" numFmtId="165">
      <sharedItems containsMixedTypes="1" containsNumber="1" containsInteger="1" minValue="30" maxValue="30"/>
    </cacheField>
    <cacheField name="Passe de Temporada do Minecraft" numFmtId="0">
      <sharedItems/>
    </cacheField>
    <cacheField name="Preço Minecraft" numFmtId="165">
      <sharedItems containsSemiMixedTypes="0" containsString="0" containsNumber="1" containsInteger="1" minValue="0" maxValue="20"/>
    </cacheField>
    <cacheField name="Valor Cupom" numFmtId="165">
      <sharedItems containsSemiMixedTypes="0" containsString="0" containsNumber="1" containsInteger="1" minValue="0" maxValue="20"/>
    </cacheField>
    <cacheField name="Valor Total" numFmtId="165">
      <sharedItems containsSemiMixedTypes="0" containsString="0" containsNumber="1" containsInteger="1" minValue="3" maxValue="62"/>
    </cacheField>
    <cacheField name="EA_Qtd" numFmtId="0">
      <sharedItems containsMixedTypes="1" containsNumber="1" containsInteger="1" minValue="1" maxValue="1" count="2">
        <n v="1"/>
        <s v=""/>
      </sharedItems>
    </cacheField>
    <cacheField name="EA Play" numFmtId="165">
      <sharedItems containsMixedTypes="1" containsNumber="1" containsInteger="1" minValue="30" maxValue="30"/>
    </cacheField>
    <cacheField name="MC_Qtd" numFmtId="0">
      <sharedItems containsMixedTypes="1" containsNumber="1" containsInteger="1" minValue="1" maxValue="1"/>
    </cacheField>
    <cacheField name="Minecraft" numFmtId="165">
      <sharedItems containsMixedTypes="1" containsNumber="1" containsInteger="1" minValue="20" maxValue="2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5">
  <r>
    <n v="3231"/>
    <s v="João Silva"/>
    <x v="0"/>
    <d v="2024-01-01T00:00:00"/>
    <x v="0"/>
    <x v="0"/>
    <n v="15"/>
    <x v="0"/>
    <s v="Sim"/>
    <n v="30"/>
    <s v="Sim"/>
    <n v="20"/>
    <n v="5"/>
    <n v="60"/>
    <x v="0"/>
    <n v="30"/>
    <n v="1"/>
    <n v="20"/>
  </r>
  <r>
    <n v="3232"/>
    <s v="Maria Oliveira"/>
    <x v="1"/>
    <d v="2024-01-15T00:00:00"/>
    <x v="0"/>
    <x v="1"/>
    <n v="5"/>
    <x v="1"/>
    <s v="Não"/>
    <s v="-"/>
    <s v="Não"/>
    <n v="0"/>
    <n v="0"/>
    <n v="5"/>
    <x v="1"/>
    <s v=""/>
    <s v=""/>
    <s v=""/>
  </r>
  <r>
    <n v="3233"/>
    <s v="Lucas Fernandes"/>
    <x v="2"/>
    <d v="2024-02-10T00:00:00"/>
    <x v="1"/>
    <x v="0"/>
    <n v="10"/>
    <x v="2"/>
    <s v="Não"/>
    <s v="-"/>
    <s v="Sim"/>
    <n v="20"/>
    <n v="10"/>
    <n v="20"/>
    <x v="1"/>
    <s v=""/>
    <n v="1"/>
    <n v="20"/>
  </r>
  <r>
    <n v="3234"/>
    <s v="Ana Souza"/>
    <x v="0"/>
    <d v="2024-02-20T00:00:00"/>
    <x v="1"/>
    <x v="1"/>
    <n v="15"/>
    <x v="0"/>
    <s v="Sim"/>
    <n v="30"/>
    <s v="Sim"/>
    <n v="20"/>
    <n v="3"/>
    <n v="62"/>
    <x v="0"/>
    <n v="30"/>
    <n v="1"/>
    <n v="20"/>
  </r>
  <r>
    <n v="3235"/>
    <s v="Pedro Gonçalves"/>
    <x v="1"/>
    <d v="2024-03-05T00:00:00"/>
    <x v="2"/>
    <x v="0"/>
    <n v="5"/>
    <x v="0"/>
    <s v="Não"/>
    <s v="-"/>
    <s v="Não"/>
    <n v="0"/>
    <n v="1"/>
    <n v="4"/>
    <x v="1"/>
    <s v=""/>
    <s v=""/>
    <s v=""/>
  </r>
  <r>
    <n v="3236"/>
    <s v="Felipe Costa"/>
    <x v="2"/>
    <d v="2024-03-02T00:00:00"/>
    <x v="2"/>
    <x v="1"/>
    <n v="10"/>
    <x v="0"/>
    <s v="Não"/>
    <s v="-"/>
    <s v="Sim"/>
    <n v="20"/>
    <n v="2"/>
    <n v="28"/>
    <x v="1"/>
    <s v=""/>
    <n v="1"/>
    <n v="20"/>
  </r>
  <r>
    <n v="3237"/>
    <s v="Camila Ribeiro"/>
    <x v="0"/>
    <d v="2024-03-03T00:00:00"/>
    <x v="2"/>
    <x v="0"/>
    <n v="15"/>
    <x v="2"/>
    <s v="Sim"/>
    <n v="30"/>
    <s v="Sim"/>
    <n v="20"/>
    <n v="10"/>
    <n v="55"/>
    <x v="0"/>
    <n v="30"/>
    <n v="1"/>
    <n v="20"/>
  </r>
  <r>
    <n v="3238"/>
    <s v="André Mendes"/>
    <x v="1"/>
    <d v="2024-03-04T00:00:00"/>
    <x v="2"/>
    <x v="0"/>
    <n v="5"/>
    <x v="1"/>
    <s v="Não"/>
    <s v="-"/>
    <s v="Não"/>
    <n v="0"/>
    <n v="0"/>
    <n v="5"/>
    <x v="1"/>
    <s v=""/>
    <s v=""/>
    <s v=""/>
  </r>
  <r>
    <n v="3239"/>
    <s v="Sofia Almeida"/>
    <x v="0"/>
    <d v="2024-03-05T00:00:00"/>
    <x v="2"/>
    <x v="1"/>
    <n v="15"/>
    <x v="0"/>
    <s v="Sim"/>
    <n v="30"/>
    <s v="Sim"/>
    <n v="20"/>
    <n v="5"/>
    <n v="60"/>
    <x v="0"/>
    <n v="30"/>
    <n v="1"/>
    <n v="20"/>
  </r>
  <r>
    <n v="3240"/>
    <s v="Bruno Martins"/>
    <x v="2"/>
    <d v="2024-03-06T00:00:00"/>
    <x v="2"/>
    <x v="0"/>
    <n v="10"/>
    <x v="2"/>
    <s v="Não"/>
    <s v="-"/>
    <s v="Sim"/>
    <n v="20"/>
    <n v="15"/>
    <n v="15"/>
    <x v="1"/>
    <s v=""/>
    <n v="1"/>
    <n v="20"/>
  </r>
  <r>
    <n v="3241"/>
    <s v="Rita Castro"/>
    <x v="1"/>
    <d v="2024-03-07T00:00:00"/>
    <x v="2"/>
    <x v="1"/>
    <n v="5"/>
    <x v="0"/>
    <s v="Não"/>
    <s v="-"/>
    <s v="Não"/>
    <n v="0"/>
    <n v="1"/>
    <n v="4"/>
    <x v="1"/>
    <s v=""/>
    <s v=""/>
    <s v=""/>
  </r>
  <r>
    <n v="3242"/>
    <s v="Marco Túlio"/>
    <x v="0"/>
    <d v="2024-03-08T00:00:00"/>
    <x v="2"/>
    <x v="0"/>
    <n v="15"/>
    <x v="1"/>
    <s v="Sim"/>
    <n v="30"/>
    <s v="Sim"/>
    <n v="20"/>
    <n v="20"/>
    <n v="45"/>
    <x v="0"/>
    <n v="30"/>
    <n v="1"/>
    <n v="20"/>
  </r>
  <r>
    <n v="3243"/>
    <s v="Lívia Silveira"/>
    <x v="2"/>
    <d v="2024-03-09T00:00:00"/>
    <x v="2"/>
    <x v="1"/>
    <n v="10"/>
    <x v="0"/>
    <s v="Não"/>
    <s v="-"/>
    <s v="Sim"/>
    <n v="20"/>
    <n v="10"/>
    <n v="20"/>
    <x v="1"/>
    <s v=""/>
    <n v="1"/>
    <n v="20"/>
  </r>
  <r>
    <n v="3244"/>
    <s v="Diogo Sousa"/>
    <x v="1"/>
    <d v="2024-03-10T00:00:00"/>
    <x v="2"/>
    <x v="0"/>
    <n v="5"/>
    <x v="2"/>
    <s v="Não"/>
    <s v="-"/>
    <s v="Não"/>
    <n v="0"/>
    <n v="0"/>
    <n v="5"/>
    <x v="1"/>
    <s v=""/>
    <s v=""/>
    <s v=""/>
  </r>
  <r>
    <n v="3245"/>
    <s v="Fernanda Lima"/>
    <x v="0"/>
    <d v="2024-03-11T00:00:00"/>
    <x v="2"/>
    <x v="1"/>
    <n v="15"/>
    <x v="0"/>
    <s v="Sim"/>
    <n v="30"/>
    <s v="Sim"/>
    <n v="20"/>
    <n v="8"/>
    <n v="57"/>
    <x v="0"/>
    <n v="30"/>
    <n v="1"/>
    <n v="20"/>
  </r>
  <r>
    <n v="3246"/>
    <s v="Caio Pereira"/>
    <x v="2"/>
    <d v="2024-03-12T00:00:00"/>
    <x v="2"/>
    <x v="0"/>
    <n v="10"/>
    <x v="1"/>
    <s v="Não"/>
    <s v="-"/>
    <s v="Sim"/>
    <n v="20"/>
    <n v="12"/>
    <n v="18"/>
    <x v="1"/>
    <s v=""/>
    <n v="1"/>
    <n v="20"/>
  </r>
  <r>
    <n v="3247"/>
    <s v="Beatriz Gomes"/>
    <x v="1"/>
    <d v="2024-03-13T00:00:00"/>
    <x v="2"/>
    <x v="1"/>
    <n v="5"/>
    <x v="0"/>
    <s v="Não"/>
    <s v="-"/>
    <s v="Não"/>
    <n v="0"/>
    <n v="2"/>
    <n v="3"/>
    <x v="1"/>
    <s v=""/>
    <s v=""/>
    <s v=""/>
  </r>
  <r>
    <n v="3248"/>
    <s v="Cesar Oliveira"/>
    <x v="0"/>
    <d v="2024-03-14T00:00:00"/>
    <x v="2"/>
    <x v="0"/>
    <n v="15"/>
    <x v="2"/>
    <s v="Sim"/>
    <n v="30"/>
    <s v="Sim"/>
    <n v="20"/>
    <n v="7"/>
    <n v="58"/>
    <x v="0"/>
    <n v="30"/>
    <n v="1"/>
    <n v="20"/>
  </r>
  <r>
    <n v="3249"/>
    <s v="Débora Machado"/>
    <x v="2"/>
    <d v="2024-03-15T00:00:00"/>
    <x v="2"/>
    <x v="1"/>
    <n v="10"/>
    <x v="0"/>
    <s v="Não"/>
    <s v="-"/>
    <s v="Sim"/>
    <n v="20"/>
    <n v="5"/>
    <n v="25"/>
    <x v="1"/>
    <s v=""/>
    <n v="1"/>
    <n v="20"/>
  </r>
  <r>
    <n v="3250"/>
    <s v="Eduardo Vargas"/>
    <x v="1"/>
    <d v="2024-03-16T00:00:00"/>
    <x v="2"/>
    <x v="0"/>
    <n v="5"/>
    <x v="1"/>
    <s v="Não"/>
    <s v="-"/>
    <s v="Não"/>
    <n v="0"/>
    <n v="0"/>
    <n v="5"/>
    <x v="1"/>
    <s v=""/>
    <s v=""/>
    <s v=""/>
  </r>
  <r>
    <n v="3251"/>
    <s v="Gabriela Santos"/>
    <x v="0"/>
    <d v="2024-03-17T00:00:00"/>
    <x v="2"/>
    <x v="1"/>
    <n v="15"/>
    <x v="0"/>
    <s v="Sim"/>
    <n v="30"/>
    <s v="Sim"/>
    <n v="20"/>
    <n v="3"/>
    <n v="62"/>
    <x v="0"/>
    <n v="30"/>
    <n v="1"/>
    <n v="20"/>
  </r>
  <r>
    <n v="3252"/>
    <s v="Henrique Dias"/>
    <x v="2"/>
    <d v="2024-03-18T00:00:00"/>
    <x v="2"/>
    <x v="0"/>
    <n v="10"/>
    <x v="2"/>
    <s v="Não"/>
    <s v="-"/>
    <s v="Sim"/>
    <n v="20"/>
    <n v="15"/>
    <n v="15"/>
    <x v="1"/>
    <s v=""/>
    <n v="1"/>
    <n v="20"/>
  </r>
  <r>
    <n v="3253"/>
    <s v="Isabela Moreira"/>
    <x v="1"/>
    <d v="2024-03-19T00:00:00"/>
    <x v="2"/>
    <x v="1"/>
    <n v="5"/>
    <x v="0"/>
    <s v="Não"/>
    <s v="-"/>
    <s v="Não"/>
    <n v="0"/>
    <n v="1"/>
    <n v="4"/>
    <x v="1"/>
    <s v=""/>
    <s v=""/>
    <s v=""/>
  </r>
  <r>
    <n v="3254"/>
    <s v="Joaquim Barbosa"/>
    <x v="0"/>
    <d v="2024-03-20T00:00:00"/>
    <x v="2"/>
    <x v="0"/>
    <n v="15"/>
    <x v="1"/>
    <s v="Sim"/>
    <n v="30"/>
    <s v="Sim"/>
    <n v="20"/>
    <n v="20"/>
    <n v="45"/>
    <x v="0"/>
    <n v="30"/>
    <n v="1"/>
    <n v="20"/>
  </r>
  <r>
    <n v="3255"/>
    <s v="Lara Rocha"/>
    <x v="2"/>
    <d v="2024-03-21T00:00:00"/>
    <x v="2"/>
    <x v="1"/>
    <n v="10"/>
    <x v="0"/>
    <s v="Não"/>
    <s v="-"/>
    <s v="Sim"/>
    <n v="20"/>
    <n v="10"/>
    <n v="20"/>
    <x v="1"/>
    <s v=""/>
    <n v="1"/>
    <n v="20"/>
  </r>
  <r>
    <n v="3256"/>
    <s v="Matheus Silva"/>
    <x v="1"/>
    <d v="2024-03-22T00:00:00"/>
    <x v="2"/>
    <x v="0"/>
    <n v="5"/>
    <x v="2"/>
    <s v="Não"/>
    <s v="-"/>
    <s v="Não"/>
    <n v="0"/>
    <n v="0"/>
    <n v="5"/>
    <x v="1"/>
    <s v=""/>
    <s v=""/>
    <s v=""/>
  </r>
  <r>
    <n v="3257"/>
    <s v="Nicole Costa"/>
    <x v="0"/>
    <d v="2024-03-23T00:00:00"/>
    <x v="2"/>
    <x v="1"/>
    <n v="15"/>
    <x v="0"/>
    <s v="Sim"/>
    <n v="30"/>
    <s v="Sim"/>
    <n v="20"/>
    <n v="5"/>
    <n v="60"/>
    <x v="0"/>
    <n v="30"/>
    <n v="1"/>
    <n v="20"/>
  </r>
  <r>
    <n v="3258"/>
    <s v="Otávio Mendonça"/>
    <x v="2"/>
    <d v="2024-03-24T00:00:00"/>
    <x v="2"/>
    <x v="0"/>
    <n v="10"/>
    <x v="1"/>
    <s v="Não"/>
    <s v="-"/>
    <s v="Sim"/>
    <n v="20"/>
    <n v="15"/>
    <n v="15"/>
    <x v="1"/>
    <s v=""/>
    <n v="1"/>
    <n v="20"/>
  </r>
  <r>
    <n v="3259"/>
    <s v="Paula Ferreira"/>
    <x v="1"/>
    <d v="2024-03-25T00:00:00"/>
    <x v="2"/>
    <x v="1"/>
    <n v="5"/>
    <x v="0"/>
    <s v="Não"/>
    <s v="-"/>
    <s v="Não"/>
    <n v="0"/>
    <n v="1"/>
    <n v="4"/>
    <x v="1"/>
    <s v=""/>
    <s v=""/>
    <s v=""/>
  </r>
  <r>
    <n v="3260"/>
    <s v="Raquel Alves"/>
    <x v="0"/>
    <d v="2024-03-26T00:00:00"/>
    <x v="2"/>
    <x v="0"/>
    <n v="15"/>
    <x v="2"/>
    <s v="Sim"/>
    <n v="30"/>
    <s v="Sim"/>
    <n v="20"/>
    <n v="7"/>
    <n v="58"/>
    <x v="0"/>
    <n v="30"/>
    <n v="1"/>
    <n v="20"/>
  </r>
  <r>
    <n v="3261"/>
    <s v="Samuel Pires"/>
    <x v="2"/>
    <d v="2024-03-27T00:00:00"/>
    <x v="2"/>
    <x v="1"/>
    <n v="10"/>
    <x v="0"/>
    <s v="Não"/>
    <s v="-"/>
    <s v="Sim"/>
    <n v="20"/>
    <n v="10"/>
    <n v="20"/>
    <x v="1"/>
    <s v=""/>
    <n v="1"/>
    <n v="20"/>
  </r>
  <r>
    <n v="3262"/>
    <s v="Tânia Barros"/>
    <x v="1"/>
    <d v="2024-03-28T00:00:00"/>
    <x v="2"/>
    <x v="0"/>
    <n v="5"/>
    <x v="1"/>
    <s v="Não"/>
    <s v="-"/>
    <s v="Não"/>
    <n v="0"/>
    <n v="0"/>
    <n v="5"/>
    <x v="1"/>
    <s v=""/>
    <s v=""/>
    <s v=""/>
  </r>
  <r>
    <n v="3263"/>
    <s v="Vinicius Lima"/>
    <x v="0"/>
    <d v="2024-03-29T00:00:00"/>
    <x v="2"/>
    <x v="1"/>
    <n v="15"/>
    <x v="0"/>
    <s v="Sim"/>
    <n v="30"/>
    <s v="Sim"/>
    <n v="20"/>
    <n v="3"/>
    <n v="62"/>
    <x v="0"/>
    <n v="30"/>
    <n v="1"/>
    <n v="20"/>
  </r>
  <r>
    <n v="3264"/>
    <s v="Yasmin Teixeira"/>
    <x v="2"/>
    <d v="2024-03-30T00:00:00"/>
    <x v="2"/>
    <x v="0"/>
    <n v="10"/>
    <x v="2"/>
    <s v="Não"/>
    <s v="-"/>
    <s v="Sim"/>
    <n v="20"/>
    <n v="15"/>
    <n v="15"/>
    <x v="1"/>
    <s v=""/>
    <n v="1"/>
    <n v="20"/>
  </r>
  <r>
    <n v="3265"/>
    <s v="Zé Carlos"/>
    <x v="1"/>
    <d v="2024-03-31T00:00:00"/>
    <x v="2"/>
    <x v="1"/>
    <n v="5"/>
    <x v="0"/>
    <s v="Não"/>
    <s v="-"/>
    <s v="Não"/>
    <n v="0"/>
    <n v="1"/>
    <n v="4"/>
    <x v="1"/>
    <s v=""/>
    <s v=""/>
    <s v=""/>
  </r>
  <r>
    <n v="3266"/>
    <s v="Amanda Nogueira"/>
    <x v="1"/>
    <d v="2024-04-01T00:00:00"/>
    <x v="3"/>
    <x v="0"/>
    <n v="5"/>
    <x v="0"/>
    <s v="Não"/>
    <s v="-"/>
    <s v="Não"/>
    <n v="0"/>
    <n v="0"/>
    <n v="5"/>
    <x v="1"/>
    <s v=""/>
    <s v=""/>
    <s v=""/>
  </r>
  <r>
    <n v="3267"/>
    <s v="Bruno Cavalheiro"/>
    <x v="0"/>
    <d v="2024-04-02T00:00:00"/>
    <x v="3"/>
    <x v="1"/>
    <n v="15"/>
    <x v="2"/>
    <s v="Sim"/>
    <n v="30"/>
    <s v="Sim"/>
    <n v="20"/>
    <n v="7"/>
    <n v="58"/>
    <x v="0"/>
    <n v="30"/>
    <n v="1"/>
    <n v="20"/>
  </r>
  <r>
    <n v="3268"/>
    <s v="Carla Dias"/>
    <x v="2"/>
    <d v="2024-04-03T00:00:00"/>
    <x v="3"/>
    <x v="0"/>
    <n v="10"/>
    <x v="1"/>
    <s v="Não"/>
    <s v="-"/>
    <s v="Sim"/>
    <n v="20"/>
    <n v="10"/>
    <n v="20"/>
    <x v="1"/>
    <s v=""/>
    <n v="1"/>
    <n v="20"/>
  </r>
  <r>
    <n v="3269"/>
    <s v="Diego Fontes"/>
    <x v="1"/>
    <d v="2024-04-04T00:00:00"/>
    <x v="3"/>
    <x v="1"/>
    <n v="5"/>
    <x v="2"/>
    <s v="Não"/>
    <s v="-"/>
    <s v="Não"/>
    <n v="0"/>
    <n v="1"/>
    <n v="4"/>
    <x v="1"/>
    <s v=""/>
    <s v=""/>
    <s v=""/>
  </r>
  <r>
    <n v="3270"/>
    <s v="Eunice Lima"/>
    <x v="0"/>
    <d v="2024-04-05T00:00:00"/>
    <x v="3"/>
    <x v="0"/>
    <n v="15"/>
    <x v="0"/>
    <s v="Sim"/>
    <n v="30"/>
    <s v="Sim"/>
    <n v="20"/>
    <n v="15"/>
    <n v="50"/>
    <x v="0"/>
    <n v="30"/>
    <n v="1"/>
    <n v="20"/>
  </r>
  <r>
    <n v="3271"/>
    <s v="Fábio Martins"/>
    <x v="2"/>
    <d v="2024-04-06T00:00:00"/>
    <x v="3"/>
    <x v="1"/>
    <n v="10"/>
    <x v="0"/>
    <s v="Não"/>
    <s v="-"/>
    <s v="Sim"/>
    <n v="20"/>
    <n v="5"/>
    <n v="25"/>
    <x v="1"/>
    <s v=""/>
    <n v="1"/>
    <n v="20"/>
  </r>
  <r>
    <n v="3272"/>
    <s v="Gisele Araújo"/>
    <x v="1"/>
    <d v="2024-04-07T00:00:00"/>
    <x v="3"/>
    <x v="0"/>
    <n v="5"/>
    <x v="1"/>
    <s v="Não"/>
    <s v="-"/>
    <s v="Não"/>
    <n v="0"/>
    <n v="0"/>
    <n v="5"/>
    <x v="1"/>
    <s v=""/>
    <s v=""/>
    <s v=""/>
  </r>
  <r>
    <n v="3273"/>
    <s v="Hélio Castro"/>
    <x v="0"/>
    <d v="2024-04-08T00:00:00"/>
    <x v="3"/>
    <x v="1"/>
    <n v="15"/>
    <x v="2"/>
    <s v="Sim"/>
    <n v="30"/>
    <s v="Sim"/>
    <n v="20"/>
    <n v="20"/>
    <n v="45"/>
    <x v="0"/>
    <n v="30"/>
    <n v="1"/>
    <n v="20"/>
  </r>
  <r>
    <n v="3274"/>
    <s v="Ingrid Menezes"/>
    <x v="2"/>
    <d v="2024-04-09T00:00:00"/>
    <x v="3"/>
    <x v="0"/>
    <n v="10"/>
    <x v="2"/>
    <s v="Não"/>
    <s v="-"/>
    <s v="Sim"/>
    <n v="20"/>
    <n v="12"/>
    <n v="18"/>
    <x v="1"/>
    <s v=""/>
    <n v="1"/>
    <n v="20"/>
  </r>
  <r>
    <n v="3275"/>
    <s v="Jorge Baptista"/>
    <x v="1"/>
    <d v="2024-04-10T00:00:00"/>
    <x v="3"/>
    <x v="1"/>
    <n v="5"/>
    <x v="0"/>
    <s v="Não"/>
    <s v="-"/>
    <s v="Não"/>
    <n v="0"/>
    <n v="2"/>
    <n v="3"/>
    <x v="1"/>
    <s v=""/>
    <s v=""/>
    <s v=""/>
  </r>
  <r>
    <n v="3276"/>
    <s v="Kléber Oliveira"/>
    <x v="0"/>
    <d v="2024-04-11T00:00:00"/>
    <x v="3"/>
    <x v="0"/>
    <n v="15"/>
    <x v="1"/>
    <s v="Sim"/>
    <n v="30"/>
    <s v="Sim"/>
    <n v="20"/>
    <n v="5"/>
    <n v="60"/>
    <x v="0"/>
    <n v="30"/>
    <n v="1"/>
    <n v="20"/>
  </r>
  <r>
    <n v="3277"/>
    <s v="Luciana Freitas"/>
    <x v="2"/>
    <d v="2024-04-12T00:00:00"/>
    <x v="3"/>
    <x v="1"/>
    <n v="10"/>
    <x v="0"/>
    <s v="Não"/>
    <s v="-"/>
    <s v="Sim"/>
    <n v="20"/>
    <n v="10"/>
    <n v="20"/>
    <x v="1"/>
    <s v=""/>
    <n v="1"/>
    <n v="20"/>
  </r>
  <r>
    <n v="3278"/>
    <s v="Márcia Eller"/>
    <x v="1"/>
    <d v="2024-04-13T00:00:00"/>
    <x v="3"/>
    <x v="0"/>
    <n v="5"/>
    <x v="2"/>
    <s v="Não"/>
    <s v="-"/>
    <s v="Não"/>
    <n v="0"/>
    <n v="0"/>
    <n v="5"/>
    <x v="1"/>
    <s v=""/>
    <s v=""/>
    <s v=""/>
  </r>
  <r>
    <n v="3279"/>
    <s v="Nilo Peçanha"/>
    <x v="0"/>
    <d v="2024-04-14T00:00:00"/>
    <x v="3"/>
    <x v="1"/>
    <n v="15"/>
    <x v="0"/>
    <s v="Sim"/>
    <n v="30"/>
    <s v="Sim"/>
    <n v="20"/>
    <n v="3"/>
    <n v="62"/>
    <x v="0"/>
    <n v="30"/>
    <n v="1"/>
    <n v="20"/>
  </r>
  <r>
    <n v="3280"/>
    <s v="Oscar Neves"/>
    <x v="2"/>
    <d v="2024-04-15T00:00:00"/>
    <x v="3"/>
    <x v="0"/>
    <n v="10"/>
    <x v="1"/>
    <s v="Não"/>
    <s v="-"/>
    <s v="Sim"/>
    <n v="20"/>
    <n v="15"/>
    <n v="15"/>
    <x v="1"/>
    <s v=""/>
    <n v="1"/>
    <n v="20"/>
  </r>
  <r>
    <n v="3281"/>
    <s v="Patrícia Soares"/>
    <x v="1"/>
    <d v="2024-04-16T00:00:00"/>
    <x v="3"/>
    <x v="1"/>
    <n v="5"/>
    <x v="0"/>
    <s v="Não"/>
    <s v="-"/>
    <s v="Não"/>
    <n v="0"/>
    <n v="1"/>
    <n v="4"/>
    <x v="1"/>
    <s v=""/>
    <s v=""/>
    <s v=""/>
  </r>
  <r>
    <n v="3282"/>
    <s v="Quirino Gonçalves"/>
    <x v="0"/>
    <d v="2024-04-17T00:00:00"/>
    <x v="3"/>
    <x v="0"/>
    <n v="15"/>
    <x v="2"/>
    <s v="Sim"/>
    <n v="30"/>
    <s v="Sim"/>
    <n v="20"/>
    <n v="7"/>
    <n v="58"/>
    <x v="0"/>
    <n v="30"/>
    <n v="1"/>
    <n v="20"/>
  </r>
  <r>
    <n v="3283"/>
    <s v="Raul Machado"/>
    <x v="2"/>
    <d v="2024-04-18T00:00:00"/>
    <x v="3"/>
    <x v="1"/>
    <n v="10"/>
    <x v="0"/>
    <s v="Não"/>
    <s v="-"/>
    <s v="Sim"/>
    <n v="20"/>
    <n v="10"/>
    <n v="20"/>
    <x v="1"/>
    <s v=""/>
    <n v="1"/>
    <n v="20"/>
  </r>
  <r>
    <n v="3284"/>
    <s v="Sônia Lobo"/>
    <x v="1"/>
    <d v="2024-04-19T00:00:00"/>
    <x v="3"/>
    <x v="0"/>
    <n v="5"/>
    <x v="1"/>
    <s v="Não"/>
    <s v="-"/>
    <s v="Não"/>
    <n v="0"/>
    <n v="0"/>
    <n v="5"/>
    <x v="1"/>
    <s v=""/>
    <s v=""/>
    <s v=""/>
  </r>
  <r>
    <n v="3285"/>
    <s v="Tiago Ramos"/>
    <x v="0"/>
    <d v="2024-04-20T00:00:00"/>
    <x v="3"/>
    <x v="1"/>
    <n v="15"/>
    <x v="0"/>
    <s v="Sim"/>
    <n v="30"/>
    <s v="Sim"/>
    <n v="20"/>
    <n v="20"/>
    <n v="45"/>
    <x v="0"/>
    <n v="30"/>
    <n v="1"/>
    <n v="20"/>
  </r>
  <r>
    <n v="3286"/>
    <s v="Ugo Pires"/>
    <x v="2"/>
    <d v="2024-04-21T00:00:00"/>
    <x v="3"/>
    <x v="0"/>
    <n v="10"/>
    <x v="2"/>
    <s v="Não"/>
    <s v="-"/>
    <s v="Sim"/>
    <n v="20"/>
    <n v="15"/>
    <n v="15"/>
    <x v="1"/>
    <s v=""/>
    <n v="1"/>
    <n v="20"/>
  </r>
  <r>
    <n v="3287"/>
    <s v="Valéria Nobre"/>
    <x v="1"/>
    <d v="2024-04-22T00:00:00"/>
    <x v="3"/>
    <x v="1"/>
    <n v="5"/>
    <x v="0"/>
    <s v="Não"/>
    <s v="-"/>
    <s v="Não"/>
    <n v="0"/>
    <n v="1"/>
    <n v="4"/>
    <x v="1"/>
    <s v=""/>
    <s v=""/>
    <s v=""/>
  </r>
  <r>
    <n v="3288"/>
    <s v="William Siqueira"/>
    <x v="0"/>
    <d v="2024-04-23T00:00:00"/>
    <x v="3"/>
    <x v="0"/>
    <n v="15"/>
    <x v="1"/>
    <s v="Sim"/>
    <n v="30"/>
    <s v="Sim"/>
    <n v="20"/>
    <n v="3"/>
    <n v="62"/>
    <x v="0"/>
    <n v="30"/>
    <n v="1"/>
    <n v="20"/>
  </r>
  <r>
    <n v="3289"/>
    <s v="Xuxa Meneghel"/>
    <x v="2"/>
    <d v="2024-04-24T00:00:00"/>
    <x v="3"/>
    <x v="1"/>
    <n v="10"/>
    <x v="0"/>
    <s v="Não"/>
    <s v="-"/>
    <s v="Sim"/>
    <n v="20"/>
    <n v="10"/>
    <n v="20"/>
    <x v="1"/>
    <s v=""/>
    <n v="1"/>
    <n v="20"/>
  </r>
  <r>
    <n v="3290"/>
    <s v="Yara Figueiredo"/>
    <x v="1"/>
    <d v="2024-04-25T00:00:00"/>
    <x v="3"/>
    <x v="0"/>
    <n v="5"/>
    <x v="2"/>
    <s v="Não"/>
    <s v="-"/>
    <s v="Não"/>
    <n v="0"/>
    <n v="0"/>
    <n v="5"/>
    <x v="1"/>
    <s v=""/>
    <s v=""/>
    <s v=""/>
  </r>
  <r>
    <n v="3291"/>
    <s v="Zacarias Alves"/>
    <x v="0"/>
    <d v="2024-04-26T00:00:00"/>
    <x v="3"/>
    <x v="1"/>
    <n v="15"/>
    <x v="0"/>
    <s v="Sim"/>
    <n v="30"/>
    <s v="Sim"/>
    <n v="20"/>
    <n v="5"/>
    <n v="60"/>
    <x v="0"/>
    <n v="30"/>
    <n v="1"/>
    <n v="20"/>
  </r>
  <r>
    <n v="3292"/>
    <s v="Amanda Bynes"/>
    <x v="2"/>
    <d v="2024-04-27T00:00:00"/>
    <x v="3"/>
    <x v="0"/>
    <n v="10"/>
    <x v="1"/>
    <s v="Não"/>
    <s v="-"/>
    <s v="Sim"/>
    <n v="20"/>
    <n v="15"/>
    <n v="15"/>
    <x v="1"/>
    <s v=""/>
    <n v="1"/>
    <n v="20"/>
  </r>
  <r>
    <n v="3293"/>
    <s v="Bruno Mars"/>
    <x v="1"/>
    <d v="2024-04-28T00:00:00"/>
    <x v="3"/>
    <x v="1"/>
    <n v="5"/>
    <x v="0"/>
    <s v="Não"/>
    <s v="-"/>
    <s v="Não"/>
    <n v="0"/>
    <n v="1"/>
    <n v="4"/>
    <x v="1"/>
    <s v=""/>
    <s v=""/>
    <s v=""/>
  </r>
  <r>
    <n v="3294"/>
    <s v="Carla Bruni"/>
    <x v="0"/>
    <d v="2024-04-29T00:00:00"/>
    <x v="3"/>
    <x v="0"/>
    <n v="15"/>
    <x v="2"/>
    <s v="Sim"/>
    <n v="30"/>
    <s v="Sim"/>
    <n v="20"/>
    <n v="20"/>
    <n v="45"/>
    <x v="0"/>
    <n v="30"/>
    <n v="1"/>
    <n v="20"/>
  </r>
  <r>
    <n v="3295"/>
    <s v="Diego Maradona"/>
    <x v="2"/>
    <d v="2024-04-30T00:00:00"/>
    <x v="3"/>
    <x v="1"/>
    <n v="10"/>
    <x v="0"/>
    <s v="Não"/>
    <s v="-"/>
    <s v="Sim"/>
    <n v="20"/>
    <n v="5"/>
    <n v="25"/>
    <x v="1"/>
    <s v=""/>
    <n v="1"/>
    <n v="20"/>
  </r>
  <r>
    <n v="3296"/>
    <s v="Estela Marques"/>
    <x v="1"/>
    <d v="2024-05-01T00:00:00"/>
    <x v="4"/>
    <x v="1"/>
    <n v="5"/>
    <x v="0"/>
    <s v="Não"/>
    <s v="-"/>
    <s v="Não"/>
    <n v="0"/>
    <n v="0"/>
    <n v="5"/>
    <x v="1"/>
    <s v=""/>
    <s v=""/>
    <s v=""/>
  </r>
  <r>
    <n v="3297"/>
    <s v="Fábio Nobre"/>
    <x v="0"/>
    <d v="2024-05-02T00:00:00"/>
    <x v="4"/>
    <x v="0"/>
    <n v="15"/>
    <x v="2"/>
    <s v="Sim"/>
    <n v="30"/>
    <s v="Sim"/>
    <n v="20"/>
    <n v="7"/>
    <n v="58"/>
    <x v="0"/>
    <n v="30"/>
    <n v="1"/>
    <n v="20"/>
  </r>
  <r>
    <n v="3298"/>
    <s v="Gabriel Oliveira"/>
    <x v="2"/>
    <d v="2024-05-03T00:00:00"/>
    <x v="4"/>
    <x v="1"/>
    <n v="10"/>
    <x v="1"/>
    <s v="Não"/>
    <s v="-"/>
    <s v="Sim"/>
    <n v="20"/>
    <n v="10"/>
    <n v="20"/>
    <x v="1"/>
    <s v=""/>
    <n v="1"/>
    <n v="20"/>
  </r>
  <r>
    <n v="3299"/>
    <s v="Helena Santos"/>
    <x v="1"/>
    <d v="2024-05-04T00:00:00"/>
    <x v="4"/>
    <x v="0"/>
    <n v="5"/>
    <x v="2"/>
    <s v="Não"/>
    <s v="-"/>
    <s v="Não"/>
    <n v="0"/>
    <n v="1"/>
    <n v="4"/>
    <x v="1"/>
    <s v=""/>
    <s v=""/>
    <s v=""/>
  </r>
  <r>
    <n v="3300"/>
    <s v="Ivan Carvalho"/>
    <x v="0"/>
    <d v="2024-05-05T00:00:00"/>
    <x v="4"/>
    <x v="1"/>
    <n v="15"/>
    <x v="0"/>
    <s v="Sim"/>
    <n v="30"/>
    <s v="Sim"/>
    <n v="20"/>
    <n v="15"/>
    <n v="50"/>
    <x v="0"/>
    <n v="30"/>
    <n v="1"/>
    <n v="20"/>
  </r>
  <r>
    <n v="3301"/>
    <s v="Júlia Ferreira"/>
    <x v="2"/>
    <d v="2024-05-06T00:00:00"/>
    <x v="4"/>
    <x v="0"/>
    <n v="10"/>
    <x v="0"/>
    <s v="Não"/>
    <s v="-"/>
    <s v="Sim"/>
    <n v="20"/>
    <n v="5"/>
    <n v="25"/>
    <x v="1"/>
    <s v=""/>
    <n v="1"/>
    <n v="20"/>
  </r>
  <r>
    <n v="3302"/>
    <s v="Karla Alves"/>
    <x v="1"/>
    <d v="2024-05-07T00:00:00"/>
    <x v="4"/>
    <x v="1"/>
    <n v="5"/>
    <x v="1"/>
    <s v="Não"/>
    <s v="-"/>
    <s v="Não"/>
    <n v="0"/>
    <n v="0"/>
    <n v="5"/>
    <x v="1"/>
    <s v=""/>
    <s v=""/>
    <s v=""/>
  </r>
  <r>
    <n v="3303"/>
    <s v="Lucas Mendes"/>
    <x v="0"/>
    <d v="2024-05-08T00:00:00"/>
    <x v="4"/>
    <x v="0"/>
    <n v="15"/>
    <x v="2"/>
    <s v="Sim"/>
    <n v="30"/>
    <s v="Sim"/>
    <n v="20"/>
    <n v="20"/>
    <n v="45"/>
    <x v="0"/>
    <n v="30"/>
    <n v="1"/>
    <n v="20"/>
  </r>
  <r>
    <n v="3304"/>
    <s v="Mônica Gomes"/>
    <x v="2"/>
    <d v="2024-05-09T00:00:00"/>
    <x v="4"/>
    <x v="1"/>
    <n v="10"/>
    <x v="2"/>
    <s v="Não"/>
    <s v="-"/>
    <s v="Sim"/>
    <n v="20"/>
    <n v="12"/>
    <n v="18"/>
    <x v="1"/>
    <s v=""/>
    <n v="1"/>
    <n v="20"/>
  </r>
  <r>
    <n v="3305"/>
    <s v="Norberto Queiroz"/>
    <x v="1"/>
    <d v="2024-05-10T00:00:00"/>
    <x v="4"/>
    <x v="0"/>
    <n v="5"/>
    <x v="0"/>
    <s v="Não"/>
    <s v="-"/>
    <s v="Não"/>
    <n v="0"/>
    <n v="2"/>
    <n v="3"/>
    <x v="1"/>
    <s v=""/>
    <s v=""/>
    <s v=""/>
  </r>
  <r>
    <n v="3306"/>
    <s v="Otávio Barros"/>
    <x v="0"/>
    <d v="2024-05-11T00:00:00"/>
    <x v="4"/>
    <x v="1"/>
    <n v="15"/>
    <x v="1"/>
    <s v="Sim"/>
    <n v="30"/>
    <s v="Sim"/>
    <n v="20"/>
    <n v="5"/>
    <n v="60"/>
    <x v="0"/>
    <n v="30"/>
    <n v="1"/>
    <n v="20"/>
  </r>
  <r>
    <n v="3307"/>
    <s v="Paula Vieira"/>
    <x v="2"/>
    <d v="2024-05-12T00:00:00"/>
    <x v="4"/>
    <x v="0"/>
    <n v="10"/>
    <x v="0"/>
    <s v="Não"/>
    <s v="-"/>
    <s v="Sim"/>
    <n v="20"/>
    <n v="10"/>
    <n v="20"/>
    <x v="1"/>
    <s v=""/>
    <n v="1"/>
    <n v="20"/>
  </r>
  <r>
    <n v="3308"/>
    <s v="Quentin Ramos"/>
    <x v="1"/>
    <d v="2024-05-13T00:00:00"/>
    <x v="4"/>
    <x v="1"/>
    <n v="5"/>
    <x v="2"/>
    <s v="Não"/>
    <s v="-"/>
    <s v="Não"/>
    <n v="0"/>
    <n v="0"/>
    <n v="5"/>
    <x v="1"/>
    <s v=""/>
    <s v=""/>
    <s v=""/>
  </r>
  <r>
    <n v="3309"/>
    <s v="Raquel Novaes"/>
    <x v="0"/>
    <d v="2024-05-14T00:00:00"/>
    <x v="4"/>
    <x v="0"/>
    <n v="15"/>
    <x v="0"/>
    <s v="Sim"/>
    <n v="30"/>
    <s v="Sim"/>
    <n v="20"/>
    <n v="3"/>
    <n v="62"/>
    <x v="0"/>
    <n v="30"/>
    <n v="1"/>
    <n v="20"/>
  </r>
  <r>
    <n v="3310"/>
    <s v="Samantha Lopes"/>
    <x v="2"/>
    <d v="2024-05-15T00:00:00"/>
    <x v="4"/>
    <x v="1"/>
    <n v="10"/>
    <x v="1"/>
    <s v="Não"/>
    <s v="-"/>
    <s v="Sim"/>
    <n v="20"/>
    <n v="15"/>
    <n v="15"/>
    <x v="1"/>
    <s v=""/>
    <n v="1"/>
    <n v="20"/>
  </r>
  <r>
    <n v="3311"/>
    <s v="Tiago Martins"/>
    <x v="1"/>
    <d v="2024-05-16T00:00:00"/>
    <x v="4"/>
    <x v="0"/>
    <n v="5"/>
    <x v="0"/>
    <s v="Não"/>
    <s v="-"/>
    <s v="Não"/>
    <n v="0"/>
    <n v="1"/>
    <n v="4"/>
    <x v="1"/>
    <s v=""/>
    <s v=""/>
    <s v=""/>
  </r>
  <r>
    <n v="3312"/>
    <s v="Ulysses Guimarães"/>
    <x v="0"/>
    <d v="2024-05-17T00:00:00"/>
    <x v="4"/>
    <x v="1"/>
    <n v="15"/>
    <x v="2"/>
    <s v="Sim"/>
    <n v="30"/>
    <s v="Sim"/>
    <n v="20"/>
    <n v="7"/>
    <n v="58"/>
    <x v="0"/>
    <n v="30"/>
    <n v="1"/>
    <n v="20"/>
  </r>
  <r>
    <n v="3313"/>
    <s v="Vanessa Silva"/>
    <x v="2"/>
    <d v="2024-05-18T00:00:00"/>
    <x v="4"/>
    <x v="0"/>
    <n v="10"/>
    <x v="0"/>
    <s v="Não"/>
    <s v="-"/>
    <s v="Sim"/>
    <n v="20"/>
    <n v="10"/>
    <n v="20"/>
    <x v="1"/>
    <s v=""/>
    <n v="1"/>
    <n v="20"/>
  </r>
  <r>
    <n v="3314"/>
    <s v="William Carneiro"/>
    <x v="1"/>
    <d v="2024-05-19T00:00:00"/>
    <x v="4"/>
    <x v="1"/>
    <n v="5"/>
    <x v="1"/>
    <s v="Não"/>
    <s v="-"/>
    <s v="Não"/>
    <n v="0"/>
    <n v="0"/>
    <n v="5"/>
    <x v="1"/>
    <s v=""/>
    <s v=""/>
    <s v=""/>
  </r>
  <r>
    <n v="3315"/>
    <s v="Ximena Rocha"/>
    <x v="0"/>
    <d v="2024-05-20T00:00:00"/>
    <x v="4"/>
    <x v="0"/>
    <n v="15"/>
    <x v="0"/>
    <s v="Sim"/>
    <n v="30"/>
    <s v="Sim"/>
    <n v="20"/>
    <n v="20"/>
    <n v="45"/>
    <x v="0"/>
    <n v="30"/>
    <n v="1"/>
    <n v="20"/>
  </r>
  <r>
    <n v="3316"/>
    <s v="Yasmin Figueiredo"/>
    <x v="2"/>
    <d v="2024-05-21T00:00:00"/>
    <x v="4"/>
    <x v="1"/>
    <n v="10"/>
    <x v="2"/>
    <s v="Não"/>
    <s v="-"/>
    <s v="Sim"/>
    <n v="20"/>
    <n v="15"/>
    <n v="15"/>
    <x v="1"/>
    <s v=""/>
    <n v="1"/>
    <n v="20"/>
  </r>
  <r>
    <n v="3317"/>
    <s v="Zara Cunha"/>
    <x v="1"/>
    <d v="2024-05-22T00:00:00"/>
    <x v="4"/>
    <x v="0"/>
    <n v="5"/>
    <x v="0"/>
    <s v="Não"/>
    <s v="-"/>
    <s v="Não"/>
    <n v="0"/>
    <n v="1"/>
    <n v="4"/>
    <x v="1"/>
    <s v=""/>
    <s v=""/>
    <s v=""/>
  </r>
  <r>
    <n v="3318"/>
    <s v="Alan Teixeira"/>
    <x v="0"/>
    <d v="2024-05-23T00:00:00"/>
    <x v="4"/>
    <x v="1"/>
    <n v="15"/>
    <x v="1"/>
    <s v="Sim"/>
    <n v="30"/>
    <s v="Sim"/>
    <n v="20"/>
    <n v="3"/>
    <n v="62"/>
    <x v="0"/>
    <n v="30"/>
    <n v="1"/>
    <n v="20"/>
  </r>
  <r>
    <n v="3319"/>
    <s v="Bárbara Oliveira"/>
    <x v="2"/>
    <d v="2024-05-24T00:00:00"/>
    <x v="4"/>
    <x v="0"/>
    <n v="10"/>
    <x v="0"/>
    <s v="Não"/>
    <s v="-"/>
    <s v="Sim"/>
    <n v="20"/>
    <n v="10"/>
    <n v="20"/>
    <x v="1"/>
    <s v=""/>
    <n v="1"/>
    <n v="20"/>
  </r>
  <r>
    <n v="3320"/>
    <s v="Carlos Junqueira"/>
    <x v="1"/>
    <d v="2024-05-25T00:00:00"/>
    <x v="4"/>
    <x v="1"/>
    <n v="5"/>
    <x v="2"/>
    <s v="Não"/>
    <s v="-"/>
    <s v="Não"/>
    <n v="0"/>
    <n v="0"/>
    <n v="5"/>
    <x v="1"/>
    <s v=""/>
    <s v=""/>
    <s v=""/>
  </r>
  <r>
    <n v="3321"/>
    <s v="Daniela Moura"/>
    <x v="0"/>
    <d v="2024-05-26T00:00:00"/>
    <x v="4"/>
    <x v="0"/>
    <n v="15"/>
    <x v="0"/>
    <s v="Sim"/>
    <n v="30"/>
    <s v="Sim"/>
    <n v="20"/>
    <n v="5"/>
    <n v="60"/>
    <x v="0"/>
    <n v="30"/>
    <n v="1"/>
    <n v="20"/>
  </r>
  <r>
    <n v="3322"/>
    <s v="Eduardo Lima"/>
    <x v="2"/>
    <d v="2024-05-27T00:00:00"/>
    <x v="4"/>
    <x v="1"/>
    <n v="10"/>
    <x v="1"/>
    <s v="Não"/>
    <s v="-"/>
    <s v="Sim"/>
    <n v="20"/>
    <n v="15"/>
    <n v="15"/>
    <x v="1"/>
    <s v=""/>
    <n v="1"/>
    <n v="20"/>
  </r>
  <r>
    <n v="3323"/>
    <s v="Fabiana Araújo"/>
    <x v="1"/>
    <d v="2024-05-28T00:00:00"/>
    <x v="4"/>
    <x v="0"/>
    <n v="5"/>
    <x v="0"/>
    <s v="Não"/>
    <s v="-"/>
    <s v="Não"/>
    <n v="0"/>
    <n v="1"/>
    <n v="4"/>
    <x v="1"/>
    <s v=""/>
    <s v=""/>
    <s v=""/>
  </r>
  <r>
    <n v="3324"/>
    <s v="Geraldo Ribeiro"/>
    <x v="0"/>
    <d v="2024-05-29T00:00:00"/>
    <x v="4"/>
    <x v="1"/>
    <n v="15"/>
    <x v="2"/>
    <s v="Sim"/>
    <n v="30"/>
    <s v="Sim"/>
    <n v="20"/>
    <n v="20"/>
    <n v="45"/>
    <x v="0"/>
    <n v="30"/>
    <n v="1"/>
    <n v="20"/>
  </r>
  <r>
    <n v="3325"/>
    <s v="Héctor Vargas"/>
    <x v="2"/>
    <d v="2024-05-30T00:00:00"/>
    <x v="4"/>
    <x v="0"/>
    <n v="10"/>
    <x v="2"/>
    <s v="Não"/>
    <s v="-"/>
    <s v="Sim"/>
    <n v="20"/>
    <n v="15"/>
    <n v="15"/>
    <x v="1"/>
    <s v=""/>
    <n v="1"/>
    <n v="20"/>
  </r>
  <r>
    <n v="3326"/>
    <s v="Isabela Fonseca"/>
    <x v="1"/>
    <d v="2024-05-31T00:00:00"/>
    <x v="4"/>
    <x v="1"/>
    <n v="5"/>
    <x v="1"/>
    <s v="Não"/>
    <s v="-"/>
    <s v="Não"/>
    <n v="0"/>
    <n v="0"/>
    <n v="5"/>
    <x v="1"/>
    <s v=""/>
    <s v=""/>
    <s v=""/>
  </r>
  <r>
    <n v="3327"/>
    <s v="João Pedro Almeida"/>
    <x v="0"/>
    <d v="2024-06-01T00:00:00"/>
    <x v="5"/>
    <x v="0"/>
    <n v="15"/>
    <x v="0"/>
    <s v="Sim"/>
    <n v="30"/>
    <s v="Sim"/>
    <n v="20"/>
    <n v="7"/>
    <n v="58"/>
    <x v="0"/>
    <n v="30"/>
    <n v="1"/>
    <n v="20"/>
  </r>
  <r>
    <n v="3328"/>
    <s v="Klara Costa"/>
    <x v="2"/>
    <d v="2024-06-02T00:00:00"/>
    <x v="5"/>
    <x v="1"/>
    <n v="10"/>
    <x v="1"/>
    <s v="Não"/>
    <s v="-"/>
    <s v="Sim"/>
    <n v="20"/>
    <n v="10"/>
    <n v="20"/>
    <x v="1"/>
    <s v=""/>
    <n v="1"/>
    <n v="20"/>
  </r>
  <r>
    <n v="3329"/>
    <s v="Luciana Mendes"/>
    <x v="1"/>
    <d v="2024-06-03T00:00:00"/>
    <x v="5"/>
    <x v="0"/>
    <n v="5"/>
    <x v="2"/>
    <s v="Não"/>
    <s v="-"/>
    <s v="Não"/>
    <n v="0"/>
    <n v="1"/>
    <n v="4"/>
    <x v="1"/>
    <s v=""/>
    <s v=""/>
    <s v=""/>
  </r>
  <r>
    <n v="3330"/>
    <s v="Marcelo Gouveia"/>
    <x v="0"/>
    <d v="2024-06-04T00:00:00"/>
    <x v="5"/>
    <x v="1"/>
    <n v="15"/>
    <x v="0"/>
    <s v="Sim"/>
    <n v="30"/>
    <s v="Sim"/>
    <n v="20"/>
    <n v="15"/>
    <n v="50"/>
    <x v="0"/>
    <n v="30"/>
    <n v="1"/>
    <n v="20"/>
  </r>
  <r>
    <n v="3331"/>
    <s v="Nívea Borges"/>
    <x v="2"/>
    <d v="2024-06-05T00:00:00"/>
    <x v="5"/>
    <x v="0"/>
    <n v="10"/>
    <x v="0"/>
    <s v="Não"/>
    <s v="-"/>
    <s v="Sim"/>
    <n v="20"/>
    <n v="5"/>
    <n v="25"/>
    <x v="1"/>
    <s v=""/>
    <n v="1"/>
    <n v="20"/>
  </r>
  <r>
    <n v="3332"/>
    <s v="Oscar Nogueira"/>
    <x v="1"/>
    <d v="2024-06-06T00:00:00"/>
    <x v="5"/>
    <x v="1"/>
    <n v="5"/>
    <x v="1"/>
    <s v="Não"/>
    <s v="-"/>
    <s v="Não"/>
    <n v="0"/>
    <n v="0"/>
    <n v="5"/>
    <x v="1"/>
    <s v=""/>
    <s v=""/>
    <s v=""/>
  </r>
  <r>
    <n v="3333"/>
    <s v="Patrícia Alves"/>
    <x v="0"/>
    <d v="2024-06-07T00:00:00"/>
    <x v="5"/>
    <x v="0"/>
    <n v="15"/>
    <x v="2"/>
    <s v="Sim"/>
    <n v="30"/>
    <s v="Sim"/>
    <n v="20"/>
    <n v="20"/>
    <n v="45"/>
    <x v="0"/>
    <n v="30"/>
    <n v="1"/>
    <n v="20"/>
  </r>
  <r>
    <n v="3334"/>
    <s v="Rafaela Silva"/>
    <x v="2"/>
    <d v="2024-06-08T00:00:00"/>
    <x v="5"/>
    <x v="1"/>
    <n v="10"/>
    <x v="2"/>
    <s v="Não"/>
    <s v="-"/>
    <s v="Sim"/>
    <n v="20"/>
    <n v="12"/>
    <n v="18"/>
    <x v="1"/>
    <s v=""/>
    <n v="1"/>
    <n v="20"/>
  </r>
  <r>
    <n v="3335"/>
    <s v="Samantha Moraes"/>
    <x v="1"/>
    <d v="2024-06-09T00:00:00"/>
    <x v="5"/>
    <x v="0"/>
    <n v="5"/>
    <x v="0"/>
    <s v="Não"/>
    <s v="-"/>
    <s v="Não"/>
    <n v="0"/>
    <n v="2"/>
    <n v="3"/>
    <x v="1"/>
    <s v=""/>
    <s v=""/>
    <s v=""/>
  </r>
  <r>
    <n v="3336"/>
    <s v="Tatiana Rocha"/>
    <x v="1"/>
    <d v="2024-06-10T00:00:00"/>
    <x v="5"/>
    <x v="0"/>
    <n v="5"/>
    <x v="0"/>
    <s v="Não"/>
    <s v="-"/>
    <s v="Não"/>
    <n v="0"/>
    <n v="0"/>
    <n v="5"/>
    <x v="1"/>
    <s v=""/>
    <s v=""/>
    <s v=""/>
  </r>
  <r>
    <n v="3337"/>
    <s v="Ulisses Tavares"/>
    <x v="0"/>
    <d v="2024-06-11T00:00:00"/>
    <x v="5"/>
    <x v="1"/>
    <n v="15"/>
    <x v="2"/>
    <s v="Sim"/>
    <n v="30"/>
    <s v="Sim"/>
    <n v="20"/>
    <n v="7"/>
    <n v="58"/>
    <x v="0"/>
    <n v="30"/>
    <n v="1"/>
    <n v="20"/>
  </r>
  <r>
    <n v="3338"/>
    <s v="Víctor Lemos"/>
    <x v="2"/>
    <d v="2024-06-12T00:00:00"/>
    <x v="5"/>
    <x v="0"/>
    <n v="10"/>
    <x v="1"/>
    <s v="Não"/>
    <s v="-"/>
    <s v="Sim"/>
    <n v="20"/>
    <n v="10"/>
    <n v="20"/>
    <x v="1"/>
    <s v=""/>
    <n v="1"/>
    <n v="20"/>
  </r>
  <r>
    <n v="3339"/>
    <s v="Wilma Barros"/>
    <x v="1"/>
    <d v="2024-06-13T00:00:00"/>
    <x v="5"/>
    <x v="1"/>
    <n v="5"/>
    <x v="2"/>
    <s v="Não"/>
    <s v="-"/>
    <s v="Não"/>
    <n v="0"/>
    <n v="1"/>
    <n v="4"/>
    <x v="1"/>
    <s v=""/>
    <s v=""/>
    <s v=""/>
  </r>
  <r>
    <n v="3340"/>
    <s v="Xavier Nascimento"/>
    <x v="0"/>
    <d v="2024-06-14T00:00:00"/>
    <x v="5"/>
    <x v="0"/>
    <n v="15"/>
    <x v="0"/>
    <s v="Sim"/>
    <n v="30"/>
    <s v="Sim"/>
    <n v="20"/>
    <n v="15"/>
    <n v="50"/>
    <x v="0"/>
    <n v="30"/>
    <n v="1"/>
    <n v="20"/>
  </r>
  <r>
    <n v="3341"/>
    <s v="Yago Pereira"/>
    <x v="2"/>
    <d v="2024-06-15T00:00:00"/>
    <x v="5"/>
    <x v="1"/>
    <n v="10"/>
    <x v="0"/>
    <s v="Não"/>
    <s v="-"/>
    <s v="Sim"/>
    <n v="20"/>
    <n v="5"/>
    <n v="25"/>
    <x v="1"/>
    <s v=""/>
    <n v="1"/>
    <n v="20"/>
  </r>
  <r>
    <n v="3342"/>
    <s v="Zilda Ferreira"/>
    <x v="1"/>
    <d v="2024-06-16T00:00:00"/>
    <x v="5"/>
    <x v="0"/>
    <n v="5"/>
    <x v="1"/>
    <s v="Não"/>
    <s v="-"/>
    <s v="Não"/>
    <n v="0"/>
    <n v="0"/>
    <n v="5"/>
    <x v="1"/>
    <s v=""/>
    <s v=""/>
    <s v=""/>
  </r>
  <r>
    <n v="3343"/>
    <s v="Amanda Lopes"/>
    <x v="0"/>
    <d v="2024-06-17T00:00:00"/>
    <x v="5"/>
    <x v="1"/>
    <n v="15"/>
    <x v="2"/>
    <s v="Sim"/>
    <n v="30"/>
    <s v="Sim"/>
    <n v="20"/>
    <n v="20"/>
    <n v="45"/>
    <x v="0"/>
    <n v="30"/>
    <n v="1"/>
    <n v="20"/>
  </r>
  <r>
    <n v="3344"/>
    <s v="Bruno Miranda"/>
    <x v="2"/>
    <d v="2024-06-18T00:00:00"/>
    <x v="5"/>
    <x v="0"/>
    <n v="10"/>
    <x v="2"/>
    <s v="Não"/>
    <s v="-"/>
    <s v="Sim"/>
    <n v="20"/>
    <n v="12"/>
    <n v="18"/>
    <x v="1"/>
    <s v=""/>
    <n v="1"/>
    <n v="20"/>
  </r>
  <r>
    <n v="3345"/>
    <s v="Célia Torres"/>
    <x v="1"/>
    <d v="2024-06-19T00:00:00"/>
    <x v="5"/>
    <x v="1"/>
    <n v="5"/>
    <x v="0"/>
    <s v="Não"/>
    <s v="-"/>
    <s v="Não"/>
    <n v="0"/>
    <n v="2"/>
    <n v="3"/>
    <x v="1"/>
    <s v=""/>
    <s v=""/>
    <s v=""/>
  </r>
  <r>
    <n v="3346"/>
    <s v="Diogo Souza"/>
    <x v="0"/>
    <d v="2024-06-20T00:00:00"/>
    <x v="5"/>
    <x v="0"/>
    <n v="15"/>
    <x v="1"/>
    <s v="Sim"/>
    <n v="30"/>
    <s v="Sim"/>
    <n v="20"/>
    <n v="5"/>
    <n v="60"/>
    <x v="0"/>
    <n v="30"/>
    <n v="1"/>
    <n v="20"/>
  </r>
  <r>
    <n v="3347"/>
    <s v="Elisa Castro"/>
    <x v="2"/>
    <d v="2024-06-21T00:00:00"/>
    <x v="5"/>
    <x v="1"/>
    <n v="10"/>
    <x v="0"/>
    <s v="Não"/>
    <s v="-"/>
    <s v="Sim"/>
    <n v="20"/>
    <n v="10"/>
    <n v="20"/>
    <x v="1"/>
    <s v=""/>
    <n v="1"/>
    <n v="20"/>
  </r>
  <r>
    <n v="3348"/>
    <s v="Fátima Lima"/>
    <x v="1"/>
    <d v="2024-06-22T00:00:00"/>
    <x v="5"/>
    <x v="0"/>
    <n v="5"/>
    <x v="2"/>
    <s v="Não"/>
    <s v="-"/>
    <s v="Não"/>
    <n v="0"/>
    <n v="0"/>
    <n v="5"/>
    <x v="1"/>
    <s v=""/>
    <s v=""/>
    <s v=""/>
  </r>
  <r>
    <n v="3349"/>
    <s v="Geraldo Ribeiro"/>
    <x v="0"/>
    <d v="2024-06-23T00:00:00"/>
    <x v="5"/>
    <x v="1"/>
    <n v="15"/>
    <x v="0"/>
    <s v="Sim"/>
    <n v="30"/>
    <s v="Sim"/>
    <n v="20"/>
    <n v="3"/>
    <n v="62"/>
    <x v="0"/>
    <n v="30"/>
    <n v="1"/>
    <n v="20"/>
  </r>
  <r>
    <n v="3350"/>
    <s v="Hélio Martins"/>
    <x v="2"/>
    <d v="2024-06-24T00:00:00"/>
    <x v="5"/>
    <x v="0"/>
    <n v="10"/>
    <x v="1"/>
    <s v="Não"/>
    <s v="-"/>
    <s v="Sim"/>
    <n v="20"/>
    <n v="15"/>
    <n v="15"/>
    <x v="1"/>
    <s v=""/>
    <n v="1"/>
    <n v="20"/>
  </r>
  <r>
    <n v="3351"/>
    <s v="Íris Santos"/>
    <x v="1"/>
    <d v="2024-06-25T00:00:00"/>
    <x v="5"/>
    <x v="1"/>
    <n v="5"/>
    <x v="0"/>
    <s v="Não"/>
    <s v="-"/>
    <s v="Não"/>
    <n v="0"/>
    <n v="1"/>
    <n v="4"/>
    <x v="1"/>
    <s v=""/>
    <s v=""/>
    <s v=""/>
  </r>
  <r>
    <n v="3352"/>
    <s v="João Marcelo"/>
    <x v="0"/>
    <d v="2024-06-26T00:00:00"/>
    <x v="5"/>
    <x v="0"/>
    <n v="15"/>
    <x v="2"/>
    <s v="Sim"/>
    <n v="30"/>
    <s v="Sim"/>
    <n v="20"/>
    <n v="7"/>
    <n v="58"/>
    <x v="0"/>
    <n v="30"/>
    <n v="1"/>
    <n v="20"/>
  </r>
  <r>
    <n v="3353"/>
    <s v="Larissa Gomes"/>
    <x v="2"/>
    <d v="2024-06-27T00:00:00"/>
    <x v="5"/>
    <x v="1"/>
    <n v="10"/>
    <x v="0"/>
    <s v="Não"/>
    <s v="-"/>
    <s v="Sim"/>
    <n v="20"/>
    <n v="10"/>
    <n v="20"/>
    <x v="1"/>
    <s v=""/>
    <n v="1"/>
    <n v="20"/>
  </r>
  <r>
    <n v="3354"/>
    <s v="Márcio Silva"/>
    <x v="1"/>
    <d v="2024-06-28T00:00:00"/>
    <x v="5"/>
    <x v="0"/>
    <n v="5"/>
    <x v="1"/>
    <s v="Não"/>
    <s v="-"/>
    <s v="Não"/>
    <n v="0"/>
    <n v="0"/>
    <n v="5"/>
    <x v="1"/>
    <s v=""/>
    <s v=""/>
    <s v=""/>
  </r>
  <r>
    <n v="3355"/>
    <s v="Nadia Costa"/>
    <x v="0"/>
    <d v="2024-06-29T00:00:00"/>
    <x v="5"/>
    <x v="1"/>
    <n v="15"/>
    <x v="0"/>
    <s v="Sim"/>
    <n v="30"/>
    <s v="Sim"/>
    <n v="20"/>
    <n v="20"/>
    <n v="45"/>
    <x v="0"/>
    <n v="30"/>
    <n v="1"/>
    <n v="20"/>
  </r>
  <r>
    <n v="3356"/>
    <s v="Oscar Almeida"/>
    <x v="2"/>
    <d v="2024-06-30T00:00:00"/>
    <x v="5"/>
    <x v="0"/>
    <n v="10"/>
    <x v="2"/>
    <s v="Não"/>
    <s v="-"/>
    <s v="Sim"/>
    <n v="20"/>
    <n v="15"/>
    <n v="15"/>
    <x v="1"/>
    <s v=""/>
    <n v="1"/>
    <n v="20"/>
  </r>
  <r>
    <n v="3357"/>
    <s v="Patricia Soares"/>
    <x v="1"/>
    <d v="2024-07-01T00:00:00"/>
    <x v="6"/>
    <x v="1"/>
    <n v="5"/>
    <x v="0"/>
    <s v="Não"/>
    <s v="-"/>
    <s v="Não"/>
    <n v="0"/>
    <n v="1"/>
    <n v="4"/>
    <x v="1"/>
    <s v=""/>
    <s v=""/>
    <s v=""/>
  </r>
  <r>
    <n v="3358"/>
    <s v="Quênia Barros"/>
    <x v="0"/>
    <d v="2024-07-02T00:00:00"/>
    <x v="6"/>
    <x v="0"/>
    <n v="15"/>
    <x v="1"/>
    <s v="Sim"/>
    <n v="30"/>
    <s v="Sim"/>
    <n v="20"/>
    <n v="3"/>
    <n v="62"/>
    <x v="0"/>
    <n v="30"/>
    <n v="1"/>
    <n v="20"/>
  </r>
  <r>
    <n v="3359"/>
    <s v="Rafael Torres"/>
    <x v="2"/>
    <d v="2024-07-03T00:00:00"/>
    <x v="6"/>
    <x v="1"/>
    <n v="10"/>
    <x v="0"/>
    <s v="Não"/>
    <s v="-"/>
    <s v="Sim"/>
    <n v="20"/>
    <n v="10"/>
    <n v="20"/>
    <x v="1"/>
    <s v=""/>
    <n v="1"/>
    <n v="20"/>
  </r>
  <r>
    <n v="3360"/>
    <s v="Silvia Nascimento"/>
    <x v="1"/>
    <d v="2024-07-04T00:00:00"/>
    <x v="6"/>
    <x v="0"/>
    <n v="5"/>
    <x v="2"/>
    <s v="Não"/>
    <s v="-"/>
    <s v="Não"/>
    <n v="0"/>
    <n v="0"/>
    <n v="5"/>
    <x v="1"/>
    <s v=""/>
    <s v=""/>
    <s v=""/>
  </r>
  <r>
    <n v="3361"/>
    <s v="Tiago Mendes"/>
    <x v="0"/>
    <d v="2024-07-05T00:00:00"/>
    <x v="6"/>
    <x v="1"/>
    <n v="15"/>
    <x v="0"/>
    <s v="Sim"/>
    <n v="30"/>
    <s v="Sim"/>
    <n v="20"/>
    <n v="15"/>
    <n v="50"/>
    <x v="0"/>
    <n v="30"/>
    <n v="1"/>
    <n v="20"/>
  </r>
  <r>
    <n v="3362"/>
    <s v="Ursula Silva"/>
    <x v="2"/>
    <d v="2024-07-06T00:00:00"/>
    <x v="6"/>
    <x v="0"/>
    <n v="10"/>
    <x v="1"/>
    <s v="Não"/>
    <s v="-"/>
    <s v="Sim"/>
    <n v="20"/>
    <n v="15"/>
    <n v="15"/>
    <x v="1"/>
    <s v=""/>
    <n v="1"/>
    <n v="20"/>
  </r>
  <r>
    <n v="3363"/>
    <s v="Vanessa Moraes"/>
    <x v="1"/>
    <d v="2024-07-07T00:00:00"/>
    <x v="6"/>
    <x v="1"/>
    <n v="5"/>
    <x v="0"/>
    <s v="Não"/>
    <s v="-"/>
    <s v="Não"/>
    <n v="0"/>
    <n v="1"/>
    <n v="4"/>
    <x v="1"/>
    <s v=""/>
    <s v=""/>
    <s v=""/>
  </r>
  <r>
    <n v="3364"/>
    <s v="Waldir Junior"/>
    <x v="0"/>
    <d v="2024-07-08T00:00:00"/>
    <x v="6"/>
    <x v="0"/>
    <n v="15"/>
    <x v="2"/>
    <s v="Sim"/>
    <n v="30"/>
    <s v="Sim"/>
    <n v="20"/>
    <n v="7"/>
    <n v="58"/>
    <x v="0"/>
    <n v="30"/>
    <n v="1"/>
    <n v="20"/>
  </r>
  <r>
    <n v="3365"/>
    <s v="Xavier Lopes"/>
    <x v="2"/>
    <d v="2024-07-09T00:00:00"/>
    <x v="6"/>
    <x v="1"/>
    <n v="10"/>
    <x v="0"/>
    <s v="Não"/>
    <s v="-"/>
    <s v="Sim"/>
    <n v="20"/>
    <n v="10"/>
    <n v="20"/>
    <x v="1"/>
    <s v=""/>
    <n v="1"/>
    <n v="20"/>
  </r>
  <r>
    <n v="3366"/>
    <s v="Yolanda Freitas"/>
    <x v="1"/>
    <d v="2024-07-10T00:00:00"/>
    <x v="6"/>
    <x v="0"/>
    <n v="5"/>
    <x v="0"/>
    <s v="Não"/>
    <s v="-"/>
    <s v="Não"/>
    <n v="0"/>
    <n v="0"/>
    <n v="5"/>
    <x v="1"/>
    <s v=""/>
    <s v=""/>
    <s v=""/>
  </r>
  <r>
    <n v="3367"/>
    <s v="Zacarias Nunes"/>
    <x v="0"/>
    <d v="2024-07-11T00:00:00"/>
    <x v="6"/>
    <x v="1"/>
    <n v="15"/>
    <x v="2"/>
    <s v="Sim"/>
    <n v="30"/>
    <s v="Sim"/>
    <n v="20"/>
    <n v="7"/>
    <n v="58"/>
    <x v="0"/>
    <n v="30"/>
    <n v="1"/>
    <n v="20"/>
  </r>
  <r>
    <n v="3368"/>
    <s v="Ana Clara Barreto"/>
    <x v="2"/>
    <d v="2024-07-12T00:00:00"/>
    <x v="6"/>
    <x v="0"/>
    <n v="10"/>
    <x v="1"/>
    <s v="Não"/>
    <s v="-"/>
    <s v="Sim"/>
    <n v="20"/>
    <n v="10"/>
    <n v="20"/>
    <x v="1"/>
    <s v=""/>
    <n v="1"/>
    <n v="20"/>
  </r>
  <r>
    <n v="3369"/>
    <s v="Bruno Henrique"/>
    <x v="1"/>
    <d v="2024-07-13T00:00:00"/>
    <x v="6"/>
    <x v="1"/>
    <n v="5"/>
    <x v="2"/>
    <s v="Não"/>
    <s v="-"/>
    <s v="Não"/>
    <n v="0"/>
    <n v="1"/>
    <n v="4"/>
    <x v="1"/>
    <s v=""/>
    <s v=""/>
    <s v=""/>
  </r>
  <r>
    <n v="3370"/>
    <s v="Carlos Eduardo"/>
    <x v="0"/>
    <d v="2024-07-14T00:00:00"/>
    <x v="6"/>
    <x v="0"/>
    <n v="15"/>
    <x v="0"/>
    <s v="Sim"/>
    <n v="30"/>
    <s v="Sim"/>
    <n v="20"/>
    <n v="15"/>
    <n v="50"/>
    <x v="0"/>
    <n v="30"/>
    <n v="1"/>
    <n v="20"/>
  </r>
  <r>
    <n v="3371"/>
    <s v="Débora Lima"/>
    <x v="2"/>
    <d v="2024-07-15T00:00:00"/>
    <x v="6"/>
    <x v="1"/>
    <n v="10"/>
    <x v="0"/>
    <s v="Não"/>
    <s v="-"/>
    <s v="Sim"/>
    <n v="20"/>
    <n v="5"/>
    <n v="25"/>
    <x v="1"/>
    <s v=""/>
    <n v="1"/>
    <n v="20"/>
  </r>
  <r>
    <n v="3372"/>
    <s v="Elisa Neves"/>
    <x v="1"/>
    <d v="2024-07-16T00:00:00"/>
    <x v="6"/>
    <x v="0"/>
    <n v="5"/>
    <x v="1"/>
    <s v="Não"/>
    <s v="-"/>
    <s v="Não"/>
    <n v="0"/>
    <n v="0"/>
    <n v="5"/>
    <x v="1"/>
    <s v=""/>
    <s v=""/>
    <s v=""/>
  </r>
  <r>
    <n v="3373"/>
    <s v="Fabiano Gomes"/>
    <x v="0"/>
    <d v="2024-07-17T00:00:00"/>
    <x v="6"/>
    <x v="1"/>
    <n v="15"/>
    <x v="2"/>
    <s v="Sim"/>
    <n v="30"/>
    <s v="Sim"/>
    <n v="20"/>
    <n v="20"/>
    <n v="45"/>
    <x v="0"/>
    <n v="30"/>
    <n v="1"/>
    <n v="20"/>
  </r>
  <r>
    <n v="3374"/>
    <s v="Gisele Oliveira"/>
    <x v="2"/>
    <d v="2024-07-18T00:00:00"/>
    <x v="6"/>
    <x v="0"/>
    <n v="10"/>
    <x v="2"/>
    <s v="Não"/>
    <s v="-"/>
    <s v="Sim"/>
    <n v="20"/>
    <n v="12"/>
    <n v="18"/>
    <x v="1"/>
    <s v=""/>
    <n v="1"/>
    <n v="20"/>
  </r>
  <r>
    <n v="3375"/>
    <s v="Héctor Silva"/>
    <x v="1"/>
    <d v="2024-07-19T00:00:00"/>
    <x v="6"/>
    <x v="1"/>
    <n v="5"/>
    <x v="0"/>
    <s v="Não"/>
    <s v="-"/>
    <s v="Não"/>
    <n v="0"/>
    <n v="2"/>
    <n v="3"/>
    <x v="1"/>
    <s v=""/>
    <s v=""/>
    <s v=""/>
  </r>
  <r>
    <n v="3376"/>
    <s v="Igor Martins"/>
    <x v="0"/>
    <d v="2024-07-20T00:00:00"/>
    <x v="6"/>
    <x v="0"/>
    <n v="15"/>
    <x v="1"/>
    <s v="Sim"/>
    <n v="30"/>
    <s v="Sim"/>
    <n v="20"/>
    <n v="5"/>
    <n v="60"/>
    <x v="0"/>
    <n v="30"/>
    <n v="1"/>
    <n v="20"/>
  </r>
  <r>
    <n v="3377"/>
    <s v="Joana Figueiredo"/>
    <x v="2"/>
    <d v="2024-07-21T00:00:00"/>
    <x v="6"/>
    <x v="1"/>
    <n v="10"/>
    <x v="0"/>
    <s v="Não"/>
    <s v="-"/>
    <s v="Sim"/>
    <n v="20"/>
    <n v="10"/>
    <n v="20"/>
    <x v="1"/>
    <s v=""/>
    <n v="1"/>
    <n v="20"/>
  </r>
  <r>
    <n v="3378"/>
    <s v="Kleber Machado"/>
    <x v="1"/>
    <d v="2024-07-22T00:00:00"/>
    <x v="6"/>
    <x v="0"/>
    <n v="5"/>
    <x v="2"/>
    <s v="Não"/>
    <s v="-"/>
    <s v="Não"/>
    <n v="0"/>
    <n v="0"/>
    <n v="5"/>
    <x v="1"/>
    <s v=""/>
    <s v=""/>
    <s v=""/>
  </r>
  <r>
    <n v="3379"/>
    <s v="Luciana Santos"/>
    <x v="0"/>
    <d v="2024-07-23T00:00:00"/>
    <x v="6"/>
    <x v="1"/>
    <n v="15"/>
    <x v="0"/>
    <s v="Sim"/>
    <n v="30"/>
    <s v="Sim"/>
    <n v="20"/>
    <n v="3"/>
    <n v="62"/>
    <x v="0"/>
    <n v="30"/>
    <n v="1"/>
    <n v="20"/>
  </r>
  <r>
    <n v="3380"/>
    <s v="Marcos Teixeira"/>
    <x v="2"/>
    <d v="2024-07-24T00:00:00"/>
    <x v="6"/>
    <x v="0"/>
    <n v="10"/>
    <x v="1"/>
    <s v="Não"/>
    <s v="-"/>
    <s v="Sim"/>
    <n v="20"/>
    <n v="15"/>
    <n v="15"/>
    <x v="1"/>
    <s v=""/>
    <n v="1"/>
    <n v="20"/>
  </r>
  <r>
    <n v="3381"/>
    <s v="Natalia Costa"/>
    <x v="1"/>
    <d v="2024-07-25T00:00:00"/>
    <x v="6"/>
    <x v="1"/>
    <n v="5"/>
    <x v="0"/>
    <s v="Não"/>
    <s v="-"/>
    <s v="Não"/>
    <n v="0"/>
    <n v="1"/>
    <n v="4"/>
    <x v="1"/>
    <s v=""/>
    <s v=""/>
    <s v=""/>
  </r>
  <r>
    <n v="3382"/>
    <s v="Oscar Ribeiro"/>
    <x v="0"/>
    <d v="2024-07-26T00:00:00"/>
    <x v="6"/>
    <x v="0"/>
    <n v="15"/>
    <x v="2"/>
    <s v="Sim"/>
    <n v="30"/>
    <s v="Sim"/>
    <n v="20"/>
    <n v="7"/>
    <n v="58"/>
    <x v="0"/>
    <n v="30"/>
    <n v="1"/>
    <n v="20"/>
  </r>
  <r>
    <n v="3383"/>
    <s v="Patricia Almeida"/>
    <x v="2"/>
    <d v="2024-07-27T00:00:00"/>
    <x v="6"/>
    <x v="1"/>
    <n v="10"/>
    <x v="0"/>
    <s v="Não"/>
    <s v="-"/>
    <s v="Sim"/>
    <n v="20"/>
    <n v="10"/>
    <n v="20"/>
    <x v="1"/>
    <s v=""/>
    <n v="1"/>
    <n v="20"/>
  </r>
  <r>
    <n v="3384"/>
    <s v="Quirino Junior"/>
    <x v="1"/>
    <d v="2024-07-28T00:00:00"/>
    <x v="6"/>
    <x v="0"/>
    <n v="5"/>
    <x v="1"/>
    <s v="Não"/>
    <s v="-"/>
    <s v="Não"/>
    <n v="0"/>
    <n v="0"/>
    <n v="5"/>
    <x v="1"/>
    <s v=""/>
    <s v=""/>
    <s v=""/>
  </r>
  <r>
    <n v="3385"/>
    <s v="Renata Machado"/>
    <x v="0"/>
    <d v="2024-07-29T00:00:00"/>
    <x v="6"/>
    <x v="1"/>
    <n v="15"/>
    <x v="0"/>
    <s v="Sim"/>
    <n v="30"/>
    <s v="Sim"/>
    <n v="20"/>
    <n v="20"/>
    <n v="45"/>
    <x v="0"/>
    <n v="30"/>
    <n v="1"/>
    <n v="20"/>
  </r>
  <r>
    <n v="3386"/>
    <s v="Sônia Alves"/>
    <x v="2"/>
    <d v="2024-07-30T00:00:00"/>
    <x v="6"/>
    <x v="0"/>
    <n v="10"/>
    <x v="2"/>
    <s v="Não"/>
    <s v="-"/>
    <s v="Sim"/>
    <n v="20"/>
    <n v="15"/>
    <n v="15"/>
    <x v="1"/>
    <s v=""/>
    <n v="1"/>
    <n v="20"/>
  </r>
  <r>
    <n v="3387"/>
    <s v="Tiago Nunes"/>
    <x v="1"/>
    <d v="2024-07-31T00:00:00"/>
    <x v="6"/>
    <x v="1"/>
    <n v="5"/>
    <x v="0"/>
    <s v="Não"/>
    <s v="-"/>
    <s v="Não"/>
    <n v="0"/>
    <n v="1"/>
    <n v="4"/>
    <x v="1"/>
    <s v=""/>
    <s v=""/>
    <s v=""/>
  </r>
  <r>
    <n v="3388"/>
    <s v="Ulysses Pereira"/>
    <x v="0"/>
    <d v="2024-08-01T00:00:00"/>
    <x v="7"/>
    <x v="0"/>
    <n v="15"/>
    <x v="1"/>
    <s v="Sim"/>
    <n v="30"/>
    <s v="Sim"/>
    <n v="20"/>
    <n v="3"/>
    <n v="62"/>
    <x v="0"/>
    <n v="30"/>
    <n v="1"/>
    <n v="20"/>
  </r>
  <r>
    <n v="3389"/>
    <s v="Vanessa Lima"/>
    <x v="2"/>
    <d v="2024-08-02T00:00:00"/>
    <x v="7"/>
    <x v="1"/>
    <n v="10"/>
    <x v="0"/>
    <s v="Não"/>
    <s v="-"/>
    <s v="Sim"/>
    <n v="20"/>
    <n v="10"/>
    <n v="20"/>
    <x v="1"/>
    <s v=""/>
    <n v="1"/>
    <n v="20"/>
  </r>
  <r>
    <n v="3390"/>
    <s v="Wagner Santos"/>
    <x v="1"/>
    <d v="2024-08-03T00:00:00"/>
    <x v="7"/>
    <x v="0"/>
    <n v="5"/>
    <x v="2"/>
    <s v="Não"/>
    <s v="-"/>
    <s v="Não"/>
    <n v="0"/>
    <n v="0"/>
    <n v="5"/>
    <x v="1"/>
    <s v=""/>
    <s v=""/>
    <s v=""/>
  </r>
  <r>
    <n v="3391"/>
    <s v="Xuxa Meneghel"/>
    <x v="0"/>
    <d v="2024-08-04T00:00:00"/>
    <x v="7"/>
    <x v="1"/>
    <n v="15"/>
    <x v="0"/>
    <s v="Sim"/>
    <n v="30"/>
    <s v="Sim"/>
    <n v="20"/>
    <n v="15"/>
    <n v="50"/>
    <x v="0"/>
    <n v="30"/>
    <n v="1"/>
    <n v="20"/>
  </r>
  <r>
    <n v="3392"/>
    <s v="Yasmin Silva"/>
    <x v="2"/>
    <d v="2024-08-05T00:00:00"/>
    <x v="7"/>
    <x v="0"/>
    <n v="10"/>
    <x v="1"/>
    <s v="Não"/>
    <s v="-"/>
    <s v="Sim"/>
    <n v="20"/>
    <n v="15"/>
    <n v="15"/>
    <x v="1"/>
    <s v=""/>
    <n v="1"/>
    <n v="20"/>
  </r>
  <r>
    <n v="3393"/>
    <s v="Zacarias de Souza"/>
    <x v="1"/>
    <d v="2024-08-06T00:00:00"/>
    <x v="7"/>
    <x v="1"/>
    <n v="5"/>
    <x v="0"/>
    <s v="Não"/>
    <s v="-"/>
    <s v="Não"/>
    <n v="0"/>
    <n v="1"/>
    <n v="4"/>
    <x v="1"/>
    <s v=""/>
    <s v=""/>
    <s v=""/>
  </r>
  <r>
    <n v="3394"/>
    <s v="André Lima"/>
    <x v="0"/>
    <d v="2024-08-07T00:00:00"/>
    <x v="7"/>
    <x v="0"/>
    <n v="15"/>
    <x v="2"/>
    <s v="Sim"/>
    <n v="30"/>
    <s v="Sim"/>
    <n v="20"/>
    <n v="7"/>
    <n v="58"/>
    <x v="0"/>
    <n v="30"/>
    <n v="1"/>
    <n v="20"/>
  </r>
  <r>
    <n v="3395"/>
    <s v="Bianca Freitas"/>
    <x v="2"/>
    <d v="2024-08-08T00:00:00"/>
    <x v="7"/>
    <x v="1"/>
    <n v="10"/>
    <x v="0"/>
    <s v="Não"/>
    <s v="-"/>
    <s v="Sim"/>
    <n v="20"/>
    <n v="10"/>
    <n v="20"/>
    <x v="1"/>
    <s v=""/>
    <n v="1"/>
    <n v="20"/>
  </r>
  <r>
    <n v="3396"/>
    <s v="Caio Mendes"/>
    <x v="1"/>
    <d v="2024-08-09T00:00:00"/>
    <x v="7"/>
    <x v="0"/>
    <n v="5"/>
    <x v="1"/>
    <s v="Não"/>
    <s v="-"/>
    <s v="Não"/>
    <n v="0"/>
    <n v="0"/>
    <n v="5"/>
    <x v="1"/>
    <s v=""/>
    <s v=""/>
    <s v=""/>
  </r>
  <r>
    <n v="3397"/>
    <s v="Daniela Moura"/>
    <x v="0"/>
    <d v="2024-08-10T00:00:00"/>
    <x v="7"/>
    <x v="1"/>
    <n v="15"/>
    <x v="0"/>
    <s v="Sim"/>
    <n v="30"/>
    <s v="Sim"/>
    <n v="20"/>
    <n v="20"/>
    <n v="45"/>
    <x v="0"/>
    <n v="30"/>
    <n v="1"/>
    <n v="20"/>
  </r>
  <r>
    <n v="3398"/>
    <s v="Eduardo Costa"/>
    <x v="2"/>
    <d v="2024-08-11T00:00:00"/>
    <x v="7"/>
    <x v="0"/>
    <n v="10"/>
    <x v="2"/>
    <s v="Não"/>
    <s v="-"/>
    <s v="Sim"/>
    <n v="20"/>
    <n v="15"/>
    <n v="15"/>
    <x v="1"/>
    <s v=""/>
    <n v="1"/>
    <n v="20"/>
  </r>
  <r>
    <n v="3399"/>
    <s v="Fernanda Gomes"/>
    <x v="1"/>
    <d v="2024-08-12T00:00:00"/>
    <x v="7"/>
    <x v="1"/>
    <n v="5"/>
    <x v="0"/>
    <s v="Não"/>
    <s v="-"/>
    <s v="Não"/>
    <n v="0"/>
    <n v="1"/>
    <n v="4"/>
    <x v="1"/>
    <s v=""/>
    <s v=""/>
    <s v=""/>
  </r>
  <r>
    <n v="3400"/>
    <s v="Guilherme Souza"/>
    <x v="0"/>
    <d v="2024-08-13T00:00:00"/>
    <x v="7"/>
    <x v="0"/>
    <n v="15"/>
    <x v="1"/>
    <s v="Sim"/>
    <n v="30"/>
    <s v="Sim"/>
    <n v="20"/>
    <n v="5"/>
    <n v="60"/>
    <x v="0"/>
    <n v="30"/>
    <n v="1"/>
    <n v="20"/>
  </r>
  <r>
    <n v="3401"/>
    <s v="Helena Ribeiro"/>
    <x v="2"/>
    <d v="2024-08-14T00:00:00"/>
    <x v="7"/>
    <x v="1"/>
    <n v="10"/>
    <x v="0"/>
    <s v="Não"/>
    <s v="-"/>
    <s v="Sim"/>
    <n v="20"/>
    <n v="10"/>
    <n v="20"/>
    <x v="1"/>
    <s v=""/>
    <n v="1"/>
    <n v="20"/>
  </r>
  <r>
    <n v="3402"/>
    <s v="Igor Santos"/>
    <x v="1"/>
    <d v="2024-08-15T00:00:00"/>
    <x v="7"/>
    <x v="0"/>
    <n v="5"/>
    <x v="2"/>
    <s v="Não"/>
    <s v="-"/>
    <s v="Não"/>
    <n v="0"/>
    <n v="0"/>
    <n v="5"/>
    <x v="1"/>
    <s v=""/>
    <s v=""/>
    <s v=""/>
  </r>
  <r>
    <n v="3403"/>
    <s v="João Carvalho"/>
    <x v="0"/>
    <d v="2024-08-16T00:00:00"/>
    <x v="7"/>
    <x v="1"/>
    <n v="15"/>
    <x v="0"/>
    <s v="Sim"/>
    <n v="30"/>
    <s v="Sim"/>
    <n v="20"/>
    <n v="3"/>
    <n v="62"/>
    <x v="0"/>
    <n v="30"/>
    <n v="1"/>
    <n v="20"/>
  </r>
  <r>
    <n v="3404"/>
    <s v="Klara Fagundes"/>
    <x v="2"/>
    <d v="2024-08-17T00:00:00"/>
    <x v="7"/>
    <x v="0"/>
    <n v="10"/>
    <x v="1"/>
    <s v="Não"/>
    <s v="-"/>
    <s v="Sim"/>
    <n v="20"/>
    <n v="15"/>
    <n v="15"/>
    <x v="1"/>
    <s v=""/>
    <n v="1"/>
    <n v="20"/>
  </r>
  <r>
    <n v="3405"/>
    <s v="Lúcia Mendonça"/>
    <x v="1"/>
    <d v="2024-08-18T00:00:00"/>
    <x v="7"/>
    <x v="1"/>
    <n v="5"/>
    <x v="0"/>
    <s v="Não"/>
    <s v="-"/>
    <s v="Não"/>
    <n v="0"/>
    <n v="1"/>
    <n v="4"/>
    <x v="1"/>
    <s v=""/>
    <s v=""/>
    <s v=""/>
  </r>
  <r>
    <n v="3406"/>
    <s v="Marcelo Novaes"/>
    <x v="1"/>
    <d v="2024-08-19T00:00:00"/>
    <x v="7"/>
    <x v="0"/>
    <n v="5"/>
    <x v="0"/>
    <s v="Não"/>
    <s v="-"/>
    <s v="Não"/>
    <n v="0"/>
    <n v="0"/>
    <n v="5"/>
    <x v="1"/>
    <s v=""/>
    <s v=""/>
    <s v=""/>
  </r>
  <r>
    <n v="3407"/>
    <s v="Nina Pacheco"/>
    <x v="0"/>
    <d v="2024-08-20T00:00:00"/>
    <x v="7"/>
    <x v="1"/>
    <n v="15"/>
    <x v="2"/>
    <s v="Sim"/>
    <n v="30"/>
    <s v="Sim"/>
    <n v="20"/>
    <n v="7"/>
    <n v="58"/>
    <x v="0"/>
    <n v="30"/>
    <n v="1"/>
    <n v="20"/>
  </r>
  <r>
    <n v="3408"/>
    <s v="Olívia Rios"/>
    <x v="2"/>
    <d v="2024-08-21T00:00:00"/>
    <x v="7"/>
    <x v="0"/>
    <n v="10"/>
    <x v="1"/>
    <s v="Não"/>
    <s v="-"/>
    <s v="Sim"/>
    <n v="20"/>
    <n v="10"/>
    <n v="20"/>
    <x v="1"/>
    <s v=""/>
    <n v="1"/>
    <n v="20"/>
  </r>
  <r>
    <n v="3409"/>
    <s v="Paulo Quintana"/>
    <x v="1"/>
    <d v="2024-08-22T00:00:00"/>
    <x v="7"/>
    <x v="1"/>
    <n v="5"/>
    <x v="2"/>
    <s v="Não"/>
    <s v="-"/>
    <s v="Não"/>
    <n v="0"/>
    <n v="1"/>
    <n v="4"/>
    <x v="1"/>
    <s v=""/>
    <s v=""/>
    <s v=""/>
  </r>
  <r>
    <n v="3410"/>
    <s v="Raquel Domingos"/>
    <x v="0"/>
    <d v="2024-08-23T00:00:00"/>
    <x v="7"/>
    <x v="0"/>
    <n v="15"/>
    <x v="0"/>
    <s v="Sim"/>
    <n v="30"/>
    <s v="Sim"/>
    <n v="20"/>
    <n v="15"/>
    <n v="50"/>
    <x v="0"/>
    <n v="30"/>
    <n v="1"/>
    <n v="20"/>
  </r>
  <r>
    <n v="3411"/>
    <s v="Samuel Viana"/>
    <x v="2"/>
    <d v="2024-08-24T00:00:00"/>
    <x v="7"/>
    <x v="1"/>
    <n v="10"/>
    <x v="0"/>
    <s v="Não"/>
    <s v="-"/>
    <s v="Sim"/>
    <n v="20"/>
    <n v="5"/>
    <n v="25"/>
    <x v="1"/>
    <s v=""/>
    <n v="1"/>
    <n v="20"/>
  </r>
  <r>
    <n v="3412"/>
    <s v="Tatiane Rocha"/>
    <x v="1"/>
    <d v="2024-08-25T00:00:00"/>
    <x v="7"/>
    <x v="0"/>
    <n v="5"/>
    <x v="1"/>
    <s v="Não"/>
    <s v="-"/>
    <s v="Não"/>
    <n v="0"/>
    <n v="0"/>
    <n v="5"/>
    <x v="1"/>
    <s v=""/>
    <s v=""/>
    <s v=""/>
  </r>
  <r>
    <n v="3413"/>
    <s v="Ulysses Farias"/>
    <x v="0"/>
    <d v="2024-08-26T00:00:00"/>
    <x v="7"/>
    <x v="1"/>
    <n v="15"/>
    <x v="2"/>
    <s v="Sim"/>
    <n v="30"/>
    <s v="Sim"/>
    <n v="20"/>
    <n v="20"/>
    <n v="45"/>
    <x v="0"/>
    <n v="30"/>
    <n v="1"/>
    <n v="20"/>
  </r>
  <r>
    <n v="3414"/>
    <s v="Vanessa Moreira"/>
    <x v="2"/>
    <d v="2024-08-27T00:00:00"/>
    <x v="7"/>
    <x v="0"/>
    <n v="10"/>
    <x v="2"/>
    <s v="Não"/>
    <s v="-"/>
    <s v="Sim"/>
    <n v="20"/>
    <n v="12"/>
    <n v="18"/>
    <x v="1"/>
    <s v=""/>
    <n v="1"/>
    <n v="20"/>
  </r>
  <r>
    <n v="3415"/>
    <s v="William Carvalho"/>
    <x v="1"/>
    <d v="2024-08-28T00:00:00"/>
    <x v="7"/>
    <x v="1"/>
    <n v="5"/>
    <x v="0"/>
    <s v="Não"/>
    <s v="-"/>
    <s v="Não"/>
    <n v="0"/>
    <n v="2"/>
    <n v="3"/>
    <x v="1"/>
    <s v=""/>
    <s v=""/>
    <s v=""/>
  </r>
  <r>
    <n v="3416"/>
    <s v="Ximena Barros"/>
    <x v="0"/>
    <d v="2024-08-29T00:00:00"/>
    <x v="7"/>
    <x v="0"/>
    <n v="15"/>
    <x v="1"/>
    <s v="Sim"/>
    <n v="30"/>
    <s v="Sim"/>
    <n v="20"/>
    <n v="5"/>
    <n v="60"/>
    <x v="0"/>
    <n v="30"/>
    <n v="1"/>
    <n v="20"/>
  </r>
  <r>
    <n v="3417"/>
    <s v="Yara Machado"/>
    <x v="2"/>
    <d v="2024-08-30T00:00:00"/>
    <x v="7"/>
    <x v="1"/>
    <n v="10"/>
    <x v="0"/>
    <s v="Não"/>
    <s v="-"/>
    <s v="Sim"/>
    <n v="20"/>
    <n v="10"/>
    <n v="20"/>
    <x v="1"/>
    <s v=""/>
    <n v="1"/>
    <n v="20"/>
  </r>
  <r>
    <n v="3418"/>
    <s v="Zacarias Costa"/>
    <x v="1"/>
    <d v="2024-08-31T00:00:00"/>
    <x v="7"/>
    <x v="0"/>
    <n v="5"/>
    <x v="2"/>
    <s v="Não"/>
    <s v="-"/>
    <s v="Não"/>
    <n v="0"/>
    <n v="0"/>
    <n v="5"/>
    <x v="1"/>
    <s v=""/>
    <s v=""/>
    <s v=""/>
  </r>
  <r>
    <n v="3419"/>
    <s v="André Lopes"/>
    <x v="0"/>
    <d v="2024-09-01T00:00:00"/>
    <x v="8"/>
    <x v="1"/>
    <n v="15"/>
    <x v="0"/>
    <s v="Sim"/>
    <n v="30"/>
    <s v="Sim"/>
    <n v="20"/>
    <n v="3"/>
    <n v="62"/>
    <x v="0"/>
    <n v="30"/>
    <n v="1"/>
    <n v="20"/>
  </r>
  <r>
    <n v="3420"/>
    <s v="Beatriz Souza"/>
    <x v="2"/>
    <d v="2024-09-02T00:00:00"/>
    <x v="8"/>
    <x v="0"/>
    <n v="10"/>
    <x v="1"/>
    <s v="Não"/>
    <s v="-"/>
    <s v="Sim"/>
    <n v="20"/>
    <n v="15"/>
    <n v="15"/>
    <x v="1"/>
    <s v=""/>
    <n v="1"/>
    <n v="20"/>
  </r>
  <r>
    <n v="3421"/>
    <s v="Caio Pereira"/>
    <x v="1"/>
    <d v="2024-09-03T00:00:00"/>
    <x v="8"/>
    <x v="1"/>
    <n v="5"/>
    <x v="0"/>
    <s v="Não"/>
    <s v="-"/>
    <s v="Não"/>
    <n v="0"/>
    <n v="1"/>
    <n v="4"/>
    <x v="1"/>
    <s v=""/>
    <s v=""/>
    <s v=""/>
  </r>
  <r>
    <n v="3422"/>
    <s v="Daniela Araújo"/>
    <x v="0"/>
    <d v="2024-09-04T00:00:00"/>
    <x v="8"/>
    <x v="0"/>
    <n v="15"/>
    <x v="2"/>
    <s v="Sim"/>
    <n v="30"/>
    <s v="Sim"/>
    <n v="20"/>
    <n v="7"/>
    <n v="58"/>
    <x v="0"/>
    <n v="30"/>
    <n v="1"/>
    <n v="20"/>
  </r>
  <r>
    <n v="3423"/>
    <s v="Eduardo Santos"/>
    <x v="2"/>
    <d v="2024-09-05T00:00:00"/>
    <x v="8"/>
    <x v="1"/>
    <n v="10"/>
    <x v="0"/>
    <s v="Não"/>
    <s v="-"/>
    <s v="Sim"/>
    <n v="20"/>
    <n v="10"/>
    <n v="20"/>
    <x v="1"/>
    <s v=""/>
    <n v="1"/>
    <n v="20"/>
  </r>
  <r>
    <n v="3424"/>
    <s v="Fernanda Lima"/>
    <x v="1"/>
    <d v="2024-09-06T00:00:00"/>
    <x v="8"/>
    <x v="0"/>
    <n v="5"/>
    <x v="1"/>
    <s v="Não"/>
    <s v="-"/>
    <s v="Não"/>
    <n v="0"/>
    <n v="0"/>
    <n v="5"/>
    <x v="1"/>
    <s v=""/>
    <s v=""/>
    <s v=""/>
  </r>
  <r>
    <n v="3425"/>
    <s v="Gabriel Teixeira"/>
    <x v="0"/>
    <d v="2024-09-07T00:00:00"/>
    <x v="8"/>
    <x v="1"/>
    <n v="15"/>
    <x v="0"/>
    <s v="Sim"/>
    <n v="30"/>
    <s v="Sim"/>
    <n v="20"/>
    <n v="20"/>
    <n v="45"/>
    <x v="0"/>
    <n v="30"/>
    <n v="1"/>
    <n v="20"/>
  </r>
  <r>
    <n v="3426"/>
    <s v="Helena Ribeiro"/>
    <x v="2"/>
    <d v="2024-09-08T00:00:00"/>
    <x v="8"/>
    <x v="0"/>
    <n v="10"/>
    <x v="2"/>
    <s v="Não"/>
    <s v="-"/>
    <s v="Sim"/>
    <n v="20"/>
    <n v="15"/>
    <n v="15"/>
    <x v="1"/>
    <s v=""/>
    <n v="1"/>
    <n v="20"/>
  </r>
  <r>
    <n v="3427"/>
    <s v="Igor Mendes"/>
    <x v="1"/>
    <d v="2024-09-09T00:00:00"/>
    <x v="8"/>
    <x v="1"/>
    <n v="5"/>
    <x v="0"/>
    <s v="Não"/>
    <s v="-"/>
    <s v="Não"/>
    <n v="0"/>
    <n v="1"/>
    <n v="4"/>
    <x v="1"/>
    <s v=""/>
    <s v=""/>
    <s v=""/>
  </r>
  <r>
    <n v="3428"/>
    <s v="Joana Silveira"/>
    <x v="0"/>
    <d v="2024-09-10T00:00:00"/>
    <x v="8"/>
    <x v="0"/>
    <n v="15"/>
    <x v="1"/>
    <s v="Sim"/>
    <n v="30"/>
    <s v="Sim"/>
    <n v="20"/>
    <n v="3"/>
    <n v="62"/>
    <x v="0"/>
    <n v="30"/>
    <n v="1"/>
    <n v="20"/>
  </r>
  <r>
    <n v="3429"/>
    <s v="Lucas Martins"/>
    <x v="2"/>
    <d v="2024-09-11T00:00:00"/>
    <x v="8"/>
    <x v="1"/>
    <n v="10"/>
    <x v="0"/>
    <s v="Não"/>
    <s v="-"/>
    <s v="Sim"/>
    <n v="20"/>
    <n v="10"/>
    <n v="20"/>
    <x v="1"/>
    <s v=""/>
    <n v="1"/>
    <n v="20"/>
  </r>
  <r>
    <n v="3430"/>
    <s v="Marcela Gouveia"/>
    <x v="1"/>
    <d v="2024-09-12T00:00:00"/>
    <x v="8"/>
    <x v="0"/>
    <n v="5"/>
    <x v="2"/>
    <s v="Não"/>
    <s v="-"/>
    <s v="Não"/>
    <n v="0"/>
    <n v="0"/>
    <n v="5"/>
    <x v="1"/>
    <s v=""/>
    <s v=""/>
    <s v=""/>
  </r>
  <r>
    <n v="3431"/>
    <s v="Nicolas Borges"/>
    <x v="0"/>
    <d v="2024-09-13T00:00:00"/>
    <x v="8"/>
    <x v="1"/>
    <n v="15"/>
    <x v="0"/>
    <s v="Sim"/>
    <n v="30"/>
    <s v="Sim"/>
    <n v="20"/>
    <n v="15"/>
    <n v="50"/>
    <x v="0"/>
    <n v="30"/>
    <n v="1"/>
    <n v="20"/>
  </r>
  <r>
    <n v="3432"/>
    <s v="Olivia Freitas"/>
    <x v="2"/>
    <d v="2024-09-14T00:00:00"/>
    <x v="8"/>
    <x v="0"/>
    <n v="10"/>
    <x v="1"/>
    <s v="Não"/>
    <s v="-"/>
    <s v="Sim"/>
    <n v="20"/>
    <n v="15"/>
    <n v="15"/>
    <x v="1"/>
    <s v=""/>
    <n v="1"/>
    <n v="20"/>
  </r>
  <r>
    <n v="3433"/>
    <s v="Paulo Nogueira"/>
    <x v="1"/>
    <d v="2024-09-15T00:00:00"/>
    <x v="8"/>
    <x v="1"/>
    <n v="5"/>
    <x v="0"/>
    <s v="Não"/>
    <s v="-"/>
    <s v="Não"/>
    <n v="0"/>
    <n v="1"/>
    <n v="4"/>
    <x v="1"/>
    <s v=""/>
    <s v=""/>
    <s v=""/>
  </r>
  <r>
    <n v="3434"/>
    <s v="Raquel Andrade"/>
    <x v="0"/>
    <d v="2024-09-16T00:00:00"/>
    <x v="8"/>
    <x v="0"/>
    <n v="15"/>
    <x v="2"/>
    <s v="Sim"/>
    <n v="30"/>
    <s v="Sim"/>
    <n v="20"/>
    <n v="7"/>
    <n v="58"/>
    <x v="0"/>
    <n v="30"/>
    <n v="1"/>
    <n v="20"/>
  </r>
  <r>
    <n v="3435"/>
    <s v="Sônia Carvalho"/>
    <x v="2"/>
    <d v="2024-09-17T00:00:00"/>
    <x v="8"/>
    <x v="1"/>
    <n v="10"/>
    <x v="0"/>
    <s v="Não"/>
    <s v="-"/>
    <s v="Sim"/>
    <n v="20"/>
    <n v="10"/>
    <n v="20"/>
    <x v="1"/>
    <s v=""/>
    <n v="1"/>
    <n v="20"/>
  </r>
  <r>
    <n v="3436"/>
    <s v="Tiago Rodrigues"/>
    <x v="1"/>
    <d v="2024-09-18T00:00:00"/>
    <x v="8"/>
    <x v="0"/>
    <n v="5"/>
    <x v="0"/>
    <s v="Não"/>
    <s v="-"/>
    <s v="Não"/>
    <n v="0"/>
    <n v="0"/>
    <n v="5"/>
    <x v="1"/>
    <s v=""/>
    <s v=""/>
    <s v=""/>
  </r>
  <r>
    <n v="3437"/>
    <s v="Ursula Monteiro"/>
    <x v="0"/>
    <d v="2024-09-19T00:00:00"/>
    <x v="8"/>
    <x v="1"/>
    <n v="15"/>
    <x v="2"/>
    <s v="Sim"/>
    <n v="30"/>
    <s v="Sim"/>
    <n v="20"/>
    <n v="7"/>
    <n v="58"/>
    <x v="0"/>
    <n v="30"/>
    <n v="1"/>
    <n v="20"/>
  </r>
  <r>
    <n v="3438"/>
    <s v="Vanessa Pereira"/>
    <x v="2"/>
    <d v="2024-09-20T00:00:00"/>
    <x v="8"/>
    <x v="0"/>
    <n v="10"/>
    <x v="1"/>
    <s v="Não"/>
    <s v="-"/>
    <s v="Sim"/>
    <n v="20"/>
    <n v="10"/>
    <n v="20"/>
    <x v="1"/>
    <s v=""/>
    <n v="1"/>
    <n v="20"/>
  </r>
  <r>
    <n v="3439"/>
    <s v="Walter Silva"/>
    <x v="1"/>
    <d v="2024-09-21T00:00:00"/>
    <x v="8"/>
    <x v="1"/>
    <n v="5"/>
    <x v="2"/>
    <s v="Não"/>
    <s v="-"/>
    <s v="Não"/>
    <n v="0"/>
    <n v="1"/>
    <n v="4"/>
    <x v="1"/>
    <s v=""/>
    <s v=""/>
    <s v=""/>
  </r>
  <r>
    <n v="3440"/>
    <s v="Xavier Almeida"/>
    <x v="0"/>
    <d v="2024-09-22T00:00:00"/>
    <x v="8"/>
    <x v="0"/>
    <n v="15"/>
    <x v="0"/>
    <s v="Sim"/>
    <n v="30"/>
    <s v="Sim"/>
    <n v="20"/>
    <n v="15"/>
    <n v="50"/>
    <x v="0"/>
    <n v="30"/>
    <n v="1"/>
    <n v="20"/>
  </r>
  <r>
    <n v="3441"/>
    <s v="Yasmine Correia"/>
    <x v="2"/>
    <d v="2024-09-23T00:00:00"/>
    <x v="8"/>
    <x v="1"/>
    <n v="10"/>
    <x v="0"/>
    <s v="Não"/>
    <s v="-"/>
    <s v="Sim"/>
    <n v="20"/>
    <n v="5"/>
    <n v="25"/>
    <x v="1"/>
    <s v=""/>
    <n v="1"/>
    <n v="20"/>
  </r>
  <r>
    <n v="3442"/>
    <s v="Zacarias Almeida"/>
    <x v="1"/>
    <d v="2024-09-24T00:00:00"/>
    <x v="8"/>
    <x v="0"/>
    <n v="5"/>
    <x v="1"/>
    <s v="Não"/>
    <s v="-"/>
    <s v="Não"/>
    <n v="0"/>
    <n v="0"/>
    <n v="5"/>
    <x v="1"/>
    <s v=""/>
    <s v=""/>
    <s v=""/>
  </r>
  <r>
    <n v="3443"/>
    <s v="Amanda Costa"/>
    <x v="0"/>
    <d v="2024-09-25T00:00:00"/>
    <x v="8"/>
    <x v="1"/>
    <n v="15"/>
    <x v="2"/>
    <s v="Sim"/>
    <n v="30"/>
    <s v="Sim"/>
    <n v="20"/>
    <n v="20"/>
    <n v="45"/>
    <x v="0"/>
    <n v="30"/>
    <n v="1"/>
    <n v="20"/>
  </r>
  <r>
    <n v="3444"/>
    <s v="Bruno Ferreira"/>
    <x v="2"/>
    <d v="2024-09-26T00:00:00"/>
    <x v="8"/>
    <x v="0"/>
    <n v="10"/>
    <x v="2"/>
    <s v="Não"/>
    <s v="-"/>
    <s v="Sim"/>
    <n v="20"/>
    <n v="12"/>
    <n v="18"/>
    <x v="1"/>
    <s v=""/>
    <n v="1"/>
    <n v="20"/>
  </r>
  <r>
    <n v="3445"/>
    <s v="Carla Dias"/>
    <x v="1"/>
    <d v="2024-09-27T00:00:00"/>
    <x v="8"/>
    <x v="1"/>
    <n v="5"/>
    <x v="0"/>
    <s v="Não"/>
    <s v="-"/>
    <s v="Não"/>
    <n v="0"/>
    <n v="2"/>
    <n v="3"/>
    <x v="1"/>
    <s v=""/>
    <s v=""/>
    <s v=""/>
  </r>
  <r>
    <n v="3446"/>
    <s v="Diogo Martins"/>
    <x v="0"/>
    <d v="2024-09-28T00:00:00"/>
    <x v="8"/>
    <x v="0"/>
    <n v="15"/>
    <x v="1"/>
    <s v="Sim"/>
    <n v="30"/>
    <s v="Sim"/>
    <n v="20"/>
    <n v="5"/>
    <n v="60"/>
    <x v="0"/>
    <n v="30"/>
    <n v="1"/>
    <n v="20"/>
  </r>
  <r>
    <n v="3447"/>
    <s v="Elisa Campos"/>
    <x v="2"/>
    <d v="2024-09-29T00:00:00"/>
    <x v="8"/>
    <x v="1"/>
    <n v="10"/>
    <x v="0"/>
    <s v="Não"/>
    <s v="-"/>
    <s v="Sim"/>
    <n v="20"/>
    <n v="10"/>
    <n v="20"/>
    <x v="1"/>
    <s v=""/>
    <n v="1"/>
    <n v="20"/>
  </r>
  <r>
    <n v="3448"/>
    <s v="Fabiana Lima"/>
    <x v="1"/>
    <d v="2024-09-30T00:00:00"/>
    <x v="8"/>
    <x v="0"/>
    <n v="5"/>
    <x v="2"/>
    <s v="Não"/>
    <s v="-"/>
    <s v="Não"/>
    <n v="0"/>
    <n v="0"/>
    <n v="5"/>
    <x v="1"/>
    <s v=""/>
    <s v=""/>
    <s v=""/>
  </r>
  <r>
    <n v="3449"/>
    <s v="Gabriel Santos"/>
    <x v="0"/>
    <d v="2024-10-01T00:00:00"/>
    <x v="9"/>
    <x v="1"/>
    <n v="15"/>
    <x v="0"/>
    <s v="Sim"/>
    <n v="30"/>
    <s v="Sim"/>
    <n v="20"/>
    <n v="3"/>
    <n v="62"/>
    <x v="0"/>
    <n v="30"/>
    <n v="1"/>
    <n v="20"/>
  </r>
  <r>
    <n v="3450"/>
    <s v="Helena Ferreira"/>
    <x v="2"/>
    <d v="2024-10-02T00:00:00"/>
    <x v="9"/>
    <x v="0"/>
    <n v="10"/>
    <x v="1"/>
    <s v="Não"/>
    <s v="-"/>
    <s v="Sim"/>
    <n v="20"/>
    <n v="15"/>
    <n v="15"/>
    <x v="1"/>
    <s v=""/>
    <n v="1"/>
    <n v="20"/>
  </r>
  <r>
    <n v="3451"/>
    <s v="Ígor Nunes"/>
    <x v="1"/>
    <d v="2024-10-03T00:00:00"/>
    <x v="9"/>
    <x v="1"/>
    <n v="5"/>
    <x v="0"/>
    <s v="Não"/>
    <s v="-"/>
    <s v="Não"/>
    <n v="0"/>
    <n v="1"/>
    <n v="4"/>
    <x v="1"/>
    <s v=""/>
    <s v=""/>
    <s v=""/>
  </r>
  <r>
    <n v="3452"/>
    <s v="Joana Silveira"/>
    <x v="0"/>
    <d v="2024-10-04T00:00:00"/>
    <x v="9"/>
    <x v="0"/>
    <n v="15"/>
    <x v="2"/>
    <s v="Sim"/>
    <n v="30"/>
    <s v="Sim"/>
    <n v="20"/>
    <n v="7"/>
    <n v="58"/>
    <x v="0"/>
    <n v="30"/>
    <n v="1"/>
    <n v="20"/>
  </r>
  <r>
    <n v="3453"/>
    <s v="Kléber Oliveira"/>
    <x v="2"/>
    <d v="2024-10-05T00:00:00"/>
    <x v="9"/>
    <x v="1"/>
    <n v="10"/>
    <x v="0"/>
    <s v="Não"/>
    <s v="-"/>
    <s v="Sim"/>
    <n v="20"/>
    <n v="10"/>
    <n v="20"/>
    <x v="1"/>
    <s v=""/>
    <n v="1"/>
    <n v="20"/>
  </r>
  <r>
    <n v="3454"/>
    <s v="Luciana Morais"/>
    <x v="1"/>
    <d v="2024-10-06T00:00:00"/>
    <x v="9"/>
    <x v="0"/>
    <n v="5"/>
    <x v="1"/>
    <s v="Não"/>
    <s v="-"/>
    <s v="Não"/>
    <n v="0"/>
    <n v="0"/>
    <n v="5"/>
    <x v="1"/>
    <s v=""/>
    <s v=""/>
    <s v=""/>
  </r>
  <r>
    <n v="3455"/>
    <s v="Marcos Vinícius"/>
    <x v="0"/>
    <d v="2024-10-07T00:00:00"/>
    <x v="9"/>
    <x v="1"/>
    <n v="15"/>
    <x v="0"/>
    <s v="Sim"/>
    <n v="30"/>
    <s v="Sim"/>
    <n v="20"/>
    <n v="20"/>
    <n v="45"/>
    <x v="0"/>
    <n v="30"/>
    <n v="1"/>
    <n v="20"/>
  </r>
  <r>
    <n v="3456"/>
    <s v="Natália Barros"/>
    <x v="2"/>
    <d v="2024-10-08T00:00:00"/>
    <x v="9"/>
    <x v="0"/>
    <n v="10"/>
    <x v="2"/>
    <s v="Não"/>
    <s v="-"/>
    <s v="Sim"/>
    <n v="20"/>
    <n v="15"/>
    <n v="15"/>
    <x v="1"/>
    <s v=""/>
    <n v="1"/>
    <n v="20"/>
  </r>
  <r>
    <n v="3457"/>
    <s v="Oscar Sampaio"/>
    <x v="1"/>
    <d v="2024-10-09T00:00:00"/>
    <x v="9"/>
    <x v="1"/>
    <n v="5"/>
    <x v="0"/>
    <s v="Não"/>
    <s v="-"/>
    <s v="Não"/>
    <n v="0"/>
    <n v="1"/>
    <n v="4"/>
    <x v="1"/>
    <s v=""/>
    <s v=""/>
    <s v=""/>
  </r>
  <r>
    <n v="3458"/>
    <s v="Patrícia Leite"/>
    <x v="0"/>
    <d v="2024-10-10T00:00:00"/>
    <x v="9"/>
    <x v="0"/>
    <n v="15"/>
    <x v="1"/>
    <s v="Sim"/>
    <n v="30"/>
    <s v="Sim"/>
    <n v="20"/>
    <n v="3"/>
    <n v="62"/>
    <x v="0"/>
    <n v="30"/>
    <n v="1"/>
    <n v="20"/>
  </r>
  <r>
    <n v="3459"/>
    <s v="Quênia Rocha"/>
    <x v="2"/>
    <d v="2024-10-11T00:00:00"/>
    <x v="9"/>
    <x v="1"/>
    <n v="10"/>
    <x v="0"/>
    <s v="Não"/>
    <s v="-"/>
    <s v="Sim"/>
    <n v="20"/>
    <n v="10"/>
    <n v="20"/>
    <x v="1"/>
    <s v=""/>
    <n v="1"/>
    <n v="20"/>
  </r>
  <r>
    <n v="3460"/>
    <s v="Rafael Torres"/>
    <x v="1"/>
    <d v="2024-10-12T00:00:00"/>
    <x v="9"/>
    <x v="0"/>
    <n v="5"/>
    <x v="2"/>
    <s v="Não"/>
    <s v="-"/>
    <s v="Não"/>
    <n v="0"/>
    <n v="0"/>
    <n v="5"/>
    <x v="1"/>
    <s v=""/>
    <s v=""/>
    <s v=""/>
  </r>
  <r>
    <n v="3461"/>
    <s v="Sandra Gouveia"/>
    <x v="0"/>
    <d v="2024-10-13T00:00:00"/>
    <x v="9"/>
    <x v="1"/>
    <n v="15"/>
    <x v="0"/>
    <s v="Sim"/>
    <n v="30"/>
    <s v="Sim"/>
    <n v="20"/>
    <n v="15"/>
    <n v="50"/>
    <x v="0"/>
    <n v="30"/>
    <n v="1"/>
    <n v="20"/>
  </r>
  <r>
    <n v="3462"/>
    <s v="Tiago Lacerda"/>
    <x v="2"/>
    <d v="2024-10-14T00:00:00"/>
    <x v="9"/>
    <x v="0"/>
    <n v="10"/>
    <x v="1"/>
    <s v="Não"/>
    <s v="-"/>
    <s v="Sim"/>
    <n v="20"/>
    <n v="15"/>
    <n v="15"/>
    <x v="1"/>
    <s v=""/>
    <n v="1"/>
    <n v="20"/>
  </r>
  <r>
    <n v="3463"/>
    <s v="Ursula Fonseca"/>
    <x v="1"/>
    <d v="2024-10-15T00:00:00"/>
    <x v="9"/>
    <x v="1"/>
    <n v="5"/>
    <x v="0"/>
    <s v="Não"/>
    <s v="-"/>
    <s v="Não"/>
    <n v="0"/>
    <n v="1"/>
    <n v="4"/>
    <x v="1"/>
    <s v=""/>
    <s v=""/>
    <s v=""/>
  </r>
  <r>
    <n v="3464"/>
    <s v="Vanessa Andrade"/>
    <x v="0"/>
    <d v="2024-10-16T00:00:00"/>
    <x v="9"/>
    <x v="0"/>
    <n v="15"/>
    <x v="2"/>
    <s v="Sim"/>
    <n v="30"/>
    <s v="Sim"/>
    <n v="20"/>
    <n v="7"/>
    <n v="58"/>
    <x v="0"/>
    <n v="30"/>
    <n v="1"/>
    <n v="20"/>
  </r>
  <r>
    <n v="3465"/>
    <s v="William Castro"/>
    <x v="2"/>
    <d v="2024-10-17T00:00:00"/>
    <x v="9"/>
    <x v="1"/>
    <n v="10"/>
    <x v="0"/>
    <s v="Não"/>
    <s v="-"/>
    <s v="Sim"/>
    <n v="20"/>
    <n v="10"/>
    <n v="20"/>
    <x v="1"/>
    <s v=""/>
    <n v="1"/>
    <n v="20"/>
  </r>
  <r>
    <n v="3466"/>
    <s v="Xavier Monteiro"/>
    <x v="1"/>
    <d v="2024-10-18T00:00:00"/>
    <x v="9"/>
    <x v="0"/>
    <n v="5"/>
    <x v="1"/>
    <s v="Não"/>
    <s v="-"/>
    <s v="Não"/>
    <n v="0"/>
    <n v="0"/>
    <n v="5"/>
    <x v="1"/>
    <s v=""/>
    <s v=""/>
    <s v=""/>
  </r>
  <r>
    <n v="3467"/>
    <s v="Yasmin Figueira"/>
    <x v="0"/>
    <d v="2024-10-19T00:00:00"/>
    <x v="9"/>
    <x v="1"/>
    <n v="15"/>
    <x v="0"/>
    <s v="Sim"/>
    <n v="30"/>
    <s v="Sim"/>
    <n v="20"/>
    <n v="15"/>
    <n v="50"/>
    <x v="0"/>
    <n v="30"/>
    <n v="1"/>
    <n v="20"/>
  </r>
  <r>
    <n v="3468"/>
    <s v="Zacarias Mendonça"/>
    <x v="2"/>
    <d v="2024-10-20T00:00:00"/>
    <x v="9"/>
    <x v="0"/>
    <n v="10"/>
    <x v="2"/>
    <s v="Não"/>
    <s v="-"/>
    <s v="Sim"/>
    <n v="20"/>
    <n v="12"/>
    <n v="18"/>
    <x v="1"/>
    <s v=""/>
    <n v="1"/>
    <n v="20"/>
  </r>
  <r>
    <n v="3469"/>
    <s v="Amanda Menezes"/>
    <x v="1"/>
    <d v="2024-10-21T00:00:00"/>
    <x v="9"/>
    <x v="1"/>
    <n v="5"/>
    <x v="0"/>
    <s v="Não"/>
    <s v="-"/>
    <s v="Não"/>
    <n v="0"/>
    <n v="2"/>
    <n v="3"/>
    <x v="1"/>
    <s v=""/>
    <s v=""/>
    <s v=""/>
  </r>
  <r>
    <n v="3470"/>
    <s v="Bruno Santos"/>
    <x v="0"/>
    <d v="2024-10-22T00:00:00"/>
    <x v="9"/>
    <x v="0"/>
    <n v="15"/>
    <x v="1"/>
    <s v="Sim"/>
    <n v="30"/>
    <s v="Sim"/>
    <n v="20"/>
    <n v="5"/>
    <n v="60"/>
    <x v="0"/>
    <n v="30"/>
    <n v="1"/>
    <n v="20"/>
  </r>
  <r>
    <n v="3471"/>
    <s v="Carla Ferreira"/>
    <x v="2"/>
    <d v="2024-10-23T00:00:00"/>
    <x v="9"/>
    <x v="1"/>
    <n v="10"/>
    <x v="0"/>
    <s v="Não"/>
    <s v="-"/>
    <s v="Sim"/>
    <n v="20"/>
    <n v="10"/>
    <n v="20"/>
    <x v="1"/>
    <s v=""/>
    <n v="1"/>
    <n v="20"/>
  </r>
  <r>
    <n v="3472"/>
    <s v="Diogo Alves"/>
    <x v="1"/>
    <d v="2024-10-24T00:00:00"/>
    <x v="9"/>
    <x v="0"/>
    <n v="5"/>
    <x v="2"/>
    <s v="Não"/>
    <s v="-"/>
    <s v="Não"/>
    <n v="0"/>
    <n v="0"/>
    <n v="5"/>
    <x v="1"/>
    <s v=""/>
    <s v=""/>
    <s v=""/>
  </r>
  <r>
    <n v="3473"/>
    <s v="Elisa Neves"/>
    <x v="0"/>
    <d v="2024-10-25T00:00:00"/>
    <x v="9"/>
    <x v="1"/>
    <n v="15"/>
    <x v="0"/>
    <s v="Sim"/>
    <n v="30"/>
    <s v="Sim"/>
    <n v="20"/>
    <n v="3"/>
    <n v="62"/>
    <x v="0"/>
    <n v="30"/>
    <n v="1"/>
    <n v="20"/>
  </r>
  <r>
    <n v="3474"/>
    <s v="Fabiano Pires"/>
    <x v="2"/>
    <d v="2024-10-26T00:00:00"/>
    <x v="9"/>
    <x v="0"/>
    <n v="10"/>
    <x v="1"/>
    <s v="Não"/>
    <s v="-"/>
    <s v="Sim"/>
    <n v="20"/>
    <n v="15"/>
    <n v="15"/>
    <x v="1"/>
    <s v=""/>
    <n v="1"/>
    <n v="20"/>
  </r>
  <r>
    <n v="3475"/>
    <s v="Giovana Ribeiro"/>
    <x v="1"/>
    <d v="2024-10-27T00:00:00"/>
    <x v="9"/>
    <x v="1"/>
    <n v="5"/>
    <x v="0"/>
    <s v="Não"/>
    <s v="-"/>
    <s v="Não"/>
    <n v="0"/>
    <n v="1"/>
    <n v="4"/>
    <x v="1"/>
    <s v=""/>
    <s v=""/>
    <s v=""/>
  </r>
  <r>
    <n v="3476"/>
    <s v="Hélio Costa"/>
    <x v="0"/>
    <d v="2024-10-28T00:00:00"/>
    <x v="9"/>
    <x v="0"/>
    <n v="15"/>
    <x v="2"/>
    <s v="Sim"/>
    <n v="30"/>
    <s v="Sim"/>
    <n v="20"/>
    <n v="7"/>
    <n v="58"/>
    <x v="0"/>
    <n v="30"/>
    <n v="1"/>
    <n v="20"/>
  </r>
  <r>
    <n v="3477"/>
    <s v="Íris Loureiro"/>
    <x v="2"/>
    <d v="2024-10-29T00:00:00"/>
    <x v="9"/>
    <x v="1"/>
    <n v="10"/>
    <x v="0"/>
    <s v="Não"/>
    <s v="-"/>
    <s v="Sim"/>
    <n v="20"/>
    <n v="10"/>
    <n v="20"/>
    <x v="1"/>
    <s v=""/>
    <n v="1"/>
    <n v="20"/>
  </r>
  <r>
    <n v="3478"/>
    <s v="João Pereira"/>
    <x v="1"/>
    <d v="2024-10-30T00:00:00"/>
    <x v="9"/>
    <x v="0"/>
    <n v="5"/>
    <x v="1"/>
    <s v="Não"/>
    <s v="-"/>
    <s v="Não"/>
    <n v="0"/>
    <n v="0"/>
    <n v="5"/>
    <x v="1"/>
    <s v=""/>
    <s v=""/>
    <s v=""/>
  </r>
  <r>
    <n v="3479"/>
    <s v="Klara Silva"/>
    <x v="0"/>
    <d v="2024-10-31T00:00:00"/>
    <x v="9"/>
    <x v="1"/>
    <n v="15"/>
    <x v="0"/>
    <s v="Sim"/>
    <n v="30"/>
    <s v="Sim"/>
    <n v="20"/>
    <n v="20"/>
    <n v="45"/>
    <x v="0"/>
    <n v="30"/>
    <n v="1"/>
    <n v="20"/>
  </r>
  <r>
    <n v="3480"/>
    <s v="Luciana Barros"/>
    <x v="2"/>
    <d v="2024-11-01T00:00:00"/>
    <x v="10"/>
    <x v="0"/>
    <n v="10"/>
    <x v="2"/>
    <s v="Não"/>
    <s v="-"/>
    <s v="Sim"/>
    <n v="20"/>
    <n v="15"/>
    <n v="15"/>
    <x v="1"/>
    <s v=""/>
    <n v="1"/>
    <n v="20"/>
  </r>
  <r>
    <n v="3481"/>
    <s v="Marcos Gomes"/>
    <x v="1"/>
    <d v="2024-11-02T00:00:00"/>
    <x v="10"/>
    <x v="1"/>
    <n v="5"/>
    <x v="0"/>
    <s v="Não"/>
    <s v="-"/>
    <s v="Não"/>
    <n v="0"/>
    <n v="1"/>
    <n v="4"/>
    <x v="1"/>
    <s v=""/>
    <s v=""/>
    <s v=""/>
  </r>
  <r>
    <n v="3482"/>
    <s v="Natália Soares"/>
    <x v="0"/>
    <d v="2024-11-03T00:00:00"/>
    <x v="10"/>
    <x v="0"/>
    <n v="15"/>
    <x v="1"/>
    <s v="Sim"/>
    <n v="30"/>
    <s v="Sim"/>
    <n v="20"/>
    <n v="3"/>
    <n v="62"/>
    <x v="0"/>
    <n v="30"/>
    <n v="1"/>
    <n v="20"/>
  </r>
  <r>
    <n v="3483"/>
    <s v="Oscar Machado"/>
    <x v="2"/>
    <d v="2024-11-04T00:00:00"/>
    <x v="10"/>
    <x v="1"/>
    <n v="10"/>
    <x v="0"/>
    <s v="Não"/>
    <s v="-"/>
    <s v="Sim"/>
    <n v="20"/>
    <n v="10"/>
    <n v="20"/>
    <x v="1"/>
    <s v=""/>
    <n v="1"/>
    <n v="20"/>
  </r>
  <r>
    <n v="3484"/>
    <s v="Patrícia Lima"/>
    <x v="1"/>
    <d v="2024-11-05T00:00:00"/>
    <x v="10"/>
    <x v="0"/>
    <n v="5"/>
    <x v="2"/>
    <s v="Não"/>
    <s v="-"/>
    <s v="Não"/>
    <n v="0"/>
    <n v="0"/>
    <n v="5"/>
    <x v="1"/>
    <s v=""/>
    <s v=""/>
    <s v=""/>
  </r>
  <r>
    <n v="3485"/>
    <s v="Quirino Neto"/>
    <x v="0"/>
    <d v="2024-11-06T00:00:00"/>
    <x v="10"/>
    <x v="1"/>
    <n v="15"/>
    <x v="0"/>
    <s v="Sim"/>
    <n v="30"/>
    <s v="Sim"/>
    <n v="20"/>
    <n v="15"/>
    <n v="50"/>
    <x v="0"/>
    <n v="30"/>
    <n v="1"/>
    <n v="20"/>
  </r>
  <r>
    <n v="3486"/>
    <s v="Rafaela Souza"/>
    <x v="1"/>
    <d v="2024-11-07T00:00:00"/>
    <x v="10"/>
    <x v="0"/>
    <n v="5"/>
    <x v="0"/>
    <s v="Não"/>
    <s v="-"/>
    <s v="Não"/>
    <n v="0"/>
    <n v="0"/>
    <n v="5"/>
    <x v="1"/>
    <s v=""/>
    <s v=""/>
    <s v=""/>
  </r>
  <r>
    <n v="3487"/>
    <s v="Sandro Almeida"/>
    <x v="0"/>
    <d v="2024-11-08T00:00:00"/>
    <x v="10"/>
    <x v="1"/>
    <n v="15"/>
    <x v="2"/>
    <s v="Sim"/>
    <n v="30"/>
    <s v="Sim"/>
    <n v="20"/>
    <n v="7"/>
    <n v="58"/>
    <x v="0"/>
    <n v="30"/>
    <n v="1"/>
    <n v="20"/>
  </r>
  <r>
    <n v="3488"/>
    <s v="Tânia Ribeiro"/>
    <x v="2"/>
    <d v="2024-11-09T00:00:00"/>
    <x v="10"/>
    <x v="0"/>
    <n v="10"/>
    <x v="1"/>
    <s v="Não"/>
    <s v="-"/>
    <s v="Sim"/>
    <n v="20"/>
    <n v="10"/>
    <n v="20"/>
    <x v="1"/>
    <s v=""/>
    <n v="1"/>
    <n v="20"/>
  </r>
  <r>
    <n v="3489"/>
    <s v="Ugo Dias"/>
    <x v="1"/>
    <d v="2024-11-10T00:00:00"/>
    <x v="10"/>
    <x v="1"/>
    <n v="5"/>
    <x v="2"/>
    <s v="Não"/>
    <s v="-"/>
    <s v="Não"/>
    <n v="0"/>
    <n v="1"/>
    <n v="4"/>
    <x v="1"/>
    <s v=""/>
    <s v=""/>
    <s v=""/>
  </r>
  <r>
    <n v="3490"/>
    <s v="Valéria Lima"/>
    <x v="0"/>
    <d v="2024-11-11T00:00:00"/>
    <x v="10"/>
    <x v="0"/>
    <n v="15"/>
    <x v="0"/>
    <s v="Sim"/>
    <n v="30"/>
    <s v="Sim"/>
    <n v="20"/>
    <n v="15"/>
    <n v="50"/>
    <x v="0"/>
    <n v="30"/>
    <n v="1"/>
    <n v="20"/>
  </r>
  <r>
    <n v="3491"/>
    <s v="William Fernandes"/>
    <x v="2"/>
    <d v="2024-11-12T00:00:00"/>
    <x v="10"/>
    <x v="1"/>
    <n v="10"/>
    <x v="0"/>
    <s v="Não"/>
    <s v="-"/>
    <s v="Sim"/>
    <n v="20"/>
    <n v="5"/>
    <n v="25"/>
    <x v="1"/>
    <s v=""/>
    <n v="1"/>
    <n v="20"/>
  </r>
  <r>
    <n v="3492"/>
    <s v="Xuxa Mendes"/>
    <x v="1"/>
    <d v="2024-11-13T00:00:00"/>
    <x v="10"/>
    <x v="0"/>
    <n v="5"/>
    <x v="1"/>
    <s v="Não"/>
    <s v="-"/>
    <s v="Não"/>
    <n v="0"/>
    <n v="0"/>
    <n v="5"/>
    <x v="1"/>
    <s v=""/>
    <s v=""/>
    <s v=""/>
  </r>
  <r>
    <n v="3493"/>
    <s v="Ygor Farias"/>
    <x v="0"/>
    <d v="2024-11-14T00:00:00"/>
    <x v="10"/>
    <x v="1"/>
    <n v="15"/>
    <x v="2"/>
    <s v="Sim"/>
    <n v="30"/>
    <s v="Sim"/>
    <n v="20"/>
    <n v="20"/>
    <n v="45"/>
    <x v="0"/>
    <n v="30"/>
    <n v="1"/>
    <n v="20"/>
  </r>
  <r>
    <n v="3494"/>
    <s v="Zilda Barros"/>
    <x v="2"/>
    <d v="2024-11-15T00:00:00"/>
    <x v="10"/>
    <x v="0"/>
    <n v="10"/>
    <x v="2"/>
    <s v="Não"/>
    <s v="-"/>
    <s v="Sim"/>
    <n v="20"/>
    <n v="12"/>
    <n v="18"/>
    <x v="1"/>
    <s v=""/>
    <n v="1"/>
    <n v="20"/>
  </r>
  <r>
    <n v="3495"/>
    <s v="Amanda Santos"/>
    <x v="1"/>
    <d v="2024-11-16T00:00:00"/>
    <x v="10"/>
    <x v="1"/>
    <n v="5"/>
    <x v="0"/>
    <s v="Não"/>
    <s v="-"/>
    <s v="Não"/>
    <n v="0"/>
    <n v="2"/>
    <n v="3"/>
    <x v="1"/>
    <s v=""/>
    <s v=""/>
    <s v=""/>
  </r>
  <r>
    <n v="3496"/>
    <s v="Bruno Costa"/>
    <x v="0"/>
    <d v="2024-11-17T00:00:00"/>
    <x v="10"/>
    <x v="0"/>
    <n v="15"/>
    <x v="1"/>
    <s v="Sim"/>
    <n v="30"/>
    <s v="Sim"/>
    <n v="20"/>
    <n v="5"/>
    <n v="60"/>
    <x v="0"/>
    <n v="30"/>
    <n v="1"/>
    <n v="20"/>
  </r>
  <r>
    <n v="3497"/>
    <s v="Carla Rodrigues"/>
    <x v="2"/>
    <d v="2024-11-18T00:00:00"/>
    <x v="10"/>
    <x v="1"/>
    <n v="10"/>
    <x v="0"/>
    <s v="Não"/>
    <s v="-"/>
    <s v="Sim"/>
    <n v="20"/>
    <n v="10"/>
    <n v="20"/>
    <x v="1"/>
    <s v=""/>
    <n v="1"/>
    <n v="20"/>
  </r>
  <r>
    <n v="3498"/>
    <s v="Diogo Pereira"/>
    <x v="1"/>
    <d v="2024-11-19T00:00:00"/>
    <x v="10"/>
    <x v="0"/>
    <n v="5"/>
    <x v="2"/>
    <s v="Não"/>
    <s v="-"/>
    <s v="Não"/>
    <n v="0"/>
    <n v="0"/>
    <n v="5"/>
    <x v="1"/>
    <s v=""/>
    <s v=""/>
    <s v=""/>
  </r>
  <r>
    <n v="3499"/>
    <s v="Elisa Correia"/>
    <x v="0"/>
    <d v="2024-11-20T00:00:00"/>
    <x v="10"/>
    <x v="1"/>
    <n v="15"/>
    <x v="0"/>
    <s v="Sim"/>
    <n v="30"/>
    <s v="Sim"/>
    <n v="20"/>
    <n v="3"/>
    <n v="62"/>
    <x v="0"/>
    <n v="30"/>
    <n v="1"/>
    <n v="20"/>
  </r>
  <r>
    <n v="3500"/>
    <s v="Fábio Lourenço"/>
    <x v="2"/>
    <d v="2024-11-21T00:00:00"/>
    <x v="10"/>
    <x v="0"/>
    <n v="10"/>
    <x v="1"/>
    <s v="Não"/>
    <s v="-"/>
    <s v="Sim"/>
    <n v="20"/>
    <n v="15"/>
    <n v="15"/>
    <x v="1"/>
    <s v=""/>
    <n v="1"/>
    <n v="20"/>
  </r>
  <r>
    <n v="3501"/>
    <s v="Gabriela Neves"/>
    <x v="1"/>
    <d v="2024-11-22T00:00:00"/>
    <x v="10"/>
    <x v="1"/>
    <n v="5"/>
    <x v="0"/>
    <s v="Não"/>
    <s v="-"/>
    <s v="Não"/>
    <n v="0"/>
    <n v="1"/>
    <n v="4"/>
    <x v="1"/>
    <s v=""/>
    <s v=""/>
    <s v=""/>
  </r>
  <r>
    <n v="3502"/>
    <s v="Henrique Gonçalves"/>
    <x v="0"/>
    <d v="2024-11-23T00:00:00"/>
    <x v="10"/>
    <x v="0"/>
    <n v="15"/>
    <x v="2"/>
    <s v="Sim"/>
    <n v="30"/>
    <s v="Sim"/>
    <n v="20"/>
    <n v="7"/>
    <n v="58"/>
    <x v="0"/>
    <n v="30"/>
    <n v="1"/>
    <n v="20"/>
  </r>
  <r>
    <n v="3503"/>
    <s v="Íris Santos"/>
    <x v="2"/>
    <d v="2024-11-24T00:00:00"/>
    <x v="10"/>
    <x v="1"/>
    <n v="10"/>
    <x v="0"/>
    <s v="Não"/>
    <s v="-"/>
    <s v="Sim"/>
    <n v="20"/>
    <n v="10"/>
    <n v="20"/>
    <x v="1"/>
    <s v=""/>
    <n v="1"/>
    <n v="20"/>
  </r>
  <r>
    <n v="3504"/>
    <s v="João Marcelo Alves"/>
    <x v="1"/>
    <d v="2024-11-25T00:00:00"/>
    <x v="10"/>
    <x v="0"/>
    <n v="5"/>
    <x v="1"/>
    <s v="Não"/>
    <s v="-"/>
    <s v="Não"/>
    <n v="0"/>
    <n v="0"/>
    <n v="5"/>
    <x v="1"/>
    <s v=""/>
    <s v=""/>
    <s v=""/>
  </r>
  <r>
    <n v="3505"/>
    <s v="Klara Fonseca"/>
    <x v="0"/>
    <d v="2024-11-26T00:00:00"/>
    <x v="10"/>
    <x v="1"/>
    <n v="15"/>
    <x v="0"/>
    <s v="Sim"/>
    <n v="30"/>
    <s v="Sim"/>
    <n v="20"/>
    <n v="20"/>
    <n v="45"/>
    <x v="0"/>
    <n v="30"/>
    <n v="1"/>
    <n v="20"/>
  </r>
  <r>
    <n v="3506"/>
    <s v="Lucas Mendonça"/>
    <x v="2"/>
    <d v="2024-11-27T00:00:00"/>
    <x v="10"/>
    <x v="0"/>
    <n v="10"/>
    <x v="2"/>
    <s v="Não"/>
    <s v="-"/>
    <s v="Sim"/>
    <n v="20"/>
    <n v="15"/>
    <n v="15"/>
    <x v="1"/>
    <s v=""/>
    <n v="1"/>
    <n v="20"/>
  </r>
  <r>
    <n v="3507"/>
    <s v="Marcela Torres"/>
    <x v="1"/>
    <d v="2024-11-28T00:00:00"/>
    <x v="10"/>
    <x v="1"/>
    <n v="5"/>
    <x v="0"/>
    <s v="Não"/>
    <s v="-"/>
    <s v="Não"/>
    <n v="0"/>
    <n v="1"/>
    <n v="4"/>
    <x v="1"/>
    <s v=""/>
    <s v=""/>
    <s v=""/>
  </r>
  <r>
    <n v="3508"/>
    <s v="Natália Castro"/>
    <x v="0"/>
    <d v="2024-11-29T00:00:00"/>
    <x v="10"/>
    <x v="0"/>
    <n v="15"/>
    <x v="1"/>
    <s v="Sim"/>
    <n v="30"/>
    <s v="Sim"/>
    <n v="20"/>
    <n v="3"/>
    <n v="62"/>
    <x v="0"/>
    <n v="30"/>
    <n v="1"/>
    <n v="20"/>
  </r>
  <r>
    <n v="3509"/>
    <s v="Oscar Martins"/>
    <x v="2"/>
    <d v="2024-11-30T00:00:00"/>
    <x v="10"/>
    <x v="1"/>
    <n v="10"/>
    <x v="0"/>
    <s v="Não"/>
    <s v="-"/>
    <s v="Sim"/>
    <n v="20"/>
    <n v="10"/>
    <n v="20"/>
    <x v="1"/>
    <s v=""/>
    <n v="1"/>
    <n v="20"/>
  </r>
  <r>
    <n v="3510"/>
    <s v="Patrícia Oliveira"/>
    <x v="1"/>
    <d v="2024-12-01T00:00:00"/>
    <x v="11"/>
    <x v="0"/>
    <n v="5"/>
    <x v="2"/>
    <s v="Não"/>
    <s v="-"/>
    <s v="Não"/>
    <n v="0"/>
    <n v="0"/>
    <n v="5"/>
    <x v="1"/>
    <s v=""/>
    <s v=""/>
    <s v=""/>
  </r>
  <r>
    <n v="3511"/>
    <s v="Quentin Nogueira"/>
    <x v="0"/>
    <d v="2024-12-02T00:00:00"/>
    <x v="11"/>
    <x v="1"/>
    <n v="15"/>
    <x v="0"/>
    <s v="Sim"/>
    <n v="30"/>
    <s v="Sim"/>
    <n v="20"/>
    <n v="15"/>
    <n v="50"/>
    <x v="0"/>
    <n v="30"/>
    <n v="1"/>
    <n v="20"/>
  </r>
  <r>
    <n v="3512"/>
    <s v="Raquel Silva"/>
    <x v="2"/>
    <d v="2024-12-03T00:00:00"/>
    <x v="11"/>
    <x v="0"/>
    <n v="10"/>
    <x v="1"/>
    <s v="Não"/>
    <s v="-"/>
    <s v="Sim"/>
    <n v="20"/>
    <n v="15"/>
    <n v="15"/>
    <x v="1"/>
    <s v=""/>
    <n v="1"/>
    <n v="20"/>
  </r>
  <r>
    <n v="3513"/>
    <s v="Sandro Gomes"/>
    <x v="1"/>
    <d v="2024-12-04T00:00:00"/>
    <x v="11"/>
    <x v="1"/>
    <n v="5"/>
    <x v="0"/>
    <s v="Não"/>
    <s v="-"/>
    <s v="Não"/>
    <n v="0"/>
    <n v="1"/>
    <n v="4"/>
    <x v="1"/>
    <s v=""/>
    <s v=""/>
    <s v=""/>
  </r>
  <r>
    <n v="3514"/>
    <s v="Tânia Machado"/>
    <x v="0"/>
    <d v="2024-12-05T00:00:00"/>
    <x v="11"/>
    <x v="0"/>
    <n v="15"/>
    <x v="2"/>
    <s v="Sim"/>
    <n v="30"/>
    <s v="Sim"/>
    <n v="20"/>
    <n v="7"/>
    <n v="58"/>
    <x v="0"/>
    <n v="30"/>
    <n v="1"/>
    <n v="20"/>
  </r>
  <r>
    <n v="3515"/>
    <s v="Ursula Silva"/>
    <x v="2"/>
    <d v="2024-12-06T00:00:00"/>
    <x v="11"/>
    <x v="1"/>
    <n v="10"/>
    <x v="0"/>
    <s v="Não"/>
    <s v="-"/>
    <s v="Sim"/>
    <n v="20"/>
    <n v="10"/>
    <n v="20"/>
    <x v="1"/>
    <s v=""/>
    <n v="1"/>
    <n v="20"/>
  </r>
  <r>
    <n v="3516"/>
    <s v="Vanessa Moraes"/>
    <x v="1"/>
    <d v="2024-12-07T00:00:00"/>
    <x v="11"/>
    <x v="0"/>
    <n v="5"/>
    <x v="1"/>
    <s v="Não"/>
    <s v="-"/>
    <s v="Não"/>
    <n v="0"/>
    <n v="0"/>
    <n v="5"/>
    <x v="1"/>
    <s v=""/>
    <s v=""/>
    <s v=""/>
  </r>
  <r>
    <n v="3517"/>
    <s v="William Carvalho"/>
    <x v="0"/>
    <d v="2024-12-08T00:00:00"/>
    <x v="11"/>
    <x v="1"/>
    <n v="15"/>
    <x v="0"/>
    <s v="Sim"/>
    <n v="30"/>
    <s v="Sim"/>
    <n v="20"/>
    <n v="20"/>
    <n v="45"/>
    <x v="0"/>
    <n v="30"/>
    <n v="1"/>
    <n v="20"/>
  </r>
  <r>
    <n v="3518"/>
    <s v="Xavier Reis"/>
    <x v="2"/>
    <d v="2024-12-09T00:00:00"/>
    <x v="11"/>
    <x v="0"/>
    <n v="10"/>
    <x v="2"/>
    <s v="Não"/>
    <s v="-"/>
    <s v="Sim"/>
    <n v="20"/>
    <n v="12"/>
    <n v="18"/>
    <x v="1"/>
    <s v=""/>
    <n v="1"/>
    <n v="20"/>
  </r>
  <r>
    <n v="3519"/>
    <s v="Yasmin Rocha"/>
    <x v="1"/>
    <d v="2024-12-10T00:00:00"/>
    <x v="11"/>
    <x v="1"/>
    <n v="5"/>
    <x v="0"/>
    <s v="Não"/>
    <s v="-"/>
    <s v="Não"/>
    <n v="0"/>
    <n v="2"/>
    <n v="3"/>
    <x v="1"/>
    <s v=""/>
    <s v=""/>
    <s v=""/>
  </r>
  <r>
    <n v="3520"/>
    <s v="Zacarias Duarte"/>
    <x v="0"/>
    <d v="2024-12-11T00:00:00"/>
    <x v="11"/>
    <x v="0"/>
    <n v="15"/>
    <x v="1"/>
    <s v="Sim"/>
    <n v="30"/>
    <s v="Sim"/>
    <n v="20"/>
    <n v="5"/>
    <n v="60"/>
    <x v="0"/>
    <n v="30"/>
    <n v="1"/>
    <n v="20"/>
  </r>
  <r>
    <n v="3521"/>
    <s v="Amanda Freitas"/>
    <x v="2"/>
    <d v="2024-12-12T00:00:00"/>
    <x v="11"/>
    <x v="1"/>
    <n v="10"/>
    <x v="0"/>
    <s v="Não"/>
    <s v="-"/>
    <s v="Sim"/>
    <n v="20"/>
    <n v="10"/>
    <n v="20"/>
    <x v="1"/>
    <s v=""/>
    <n v="1"/>
    <n v="20"/>
  </r>
  <r>
    <n v="3522"/>
    <s v="Bruno Almeida"/>
    <x v="1"/>
    <d v="2024-12-13T00:00:00"/>
    <x v="11"/>
    <x v="0"/>
    <n v="5"/>
    <x v="2"/>
    <s v="Não"/>
    <s v="-"/>
    <s v="Não"/>
    <n v="0"/>
    <n v="0"/>
    <n v="5"/>
    <x v="1"/>
    <s v=""/>
    <s v=""/>
    <s v=""/>
  </r>
  <r>
    <n v="3523"/>
    <s v="Carla Siqueira"/>
    <x v="0"/>
    <d v="2024-12-14T00:00:00"/>
    <x v="11"/>
    <x v="1"/>
    <n v="15"/>
    <x v="0"/>
    <s v="Sim"/>
    <n v="30"/>
    <s v="Sim"/>
    <n v="20"/>
    <n v="3"/>
    <n v="62"/>
    <x v="0"/>
    <n v="30"/>
    <n v="1"/>
    <n v="20"/>
  </r>
  <r>
    <n v="3524"/>
    <s v="Diogo Ramos"/>
    <x v="2"/>
    <d v="2024-12-15T00:00:00"/>
    <x v="11"/>
    <x v="0"/>
    <n v="10"/>
    <x v="1"/>
    <s v="Não"/>
    <s v="-"/>
    <s v="Sim"/>
    <n v="20"/>
    <n v="15"/>
    <n v="15"/>
    <x v="1"/>
    <s v=""/>
    <n v="1"/>
    <n v="20"/>
  </r>
  <r>
    <n v="3525"/>
    <s v="Elisa Magalhães"/>
    <x v="1"/>
    <d v="2024-12-16T00:00:00"/>
    <x v="11"/>
    <x v="1"/>
    <n v="5"/>
    <x v="0"/>
    <s v="Não"/>
    <s v="-"/>
    <s v="Não"/>
    <n v="0"/>
    <n v="1"/>
    <n v="4"/>
    <x v="1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5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4" indent="0" outline="1" outlineData="1" multipleFieldFilters="0" chartFormat="7">
  <location ref="D7:E10" firstHeaderRow="1" firstDataRow="1" firstDataCol="1"/>
  <pivotFields count="18">
    <pivotField dataField="1" showAll="0"/>
    <pivotField showAll="0"/>
    <pivotField showAll="0"/>
    <pivotField numFmtId="14" showAl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/>
    <pivotField numFmtId="165" showAll="0"/>
    <pivotField axis="axisRow" showAll="0">
      <items count="4">
        <item x="1"/>
        <item x="0"/>
        <item x="2"/>
        <item t="default"/>
      </items>
    </pivotField>
    <pivotField showAll="0"/>
    <pivotField showAll="0"/>
    <pivotField showAll="0"/>
    <pivotField numFmtId="165" showAll="0"/>
    <pivotField numFmtId="165" showAll="0"/>
    <pivotField numFmtId="165"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3">
    <i>
      <x/>
    </i>
    <i>
      <x v="1"/>
    </i>
    <i>
      <x v="2"/>
    </i>
  </rowItems>
  <colItems count="1">
    <i/>
  </colItems>
  <dataFields count="1">
    <dataField name="Contagem de ID do Assinante" fld="0" subtotal="count" baseField="6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Medium5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25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4" indent="0" outline="1" outlineData="1" multipleFieldFilters="0" chartFormat="8">
  <location ref="A7:B10" firstHeaderRow="1" firstDataRow="1" firstDataCol="1"/>
  <pivotFields count="18">
    <pivotField dataField="1" showAll="0"/>
    <pivotField showAll="0"/>
    <pivotField axis="axisRow" showAll="0">
      <items count="4">
        <item x="1"/>
        <item x="2"/>
        <item x="0"/>
        <item t="default"/>
      </items>
    </pivotField>
    <pivotField numFmtId="14" showAl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/>
    <pivotField numFmtId="165"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Contagem de ID do Assinante" fld="0" subtotal="count" baseField="2" baseItem="0"/>
  </dataFields>
  <chartFormats count="4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4" cacheId="25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4" indent="0" outline="1" outlineData="1" multipleFieldFilters="0" chartFormat="2">
  <location ref="A15:B17" firstHeaderRow="1" firstDataRow="1" firstDataCol="1"/>
  <pivotFields count="18">
    <pivotField dataField="1" showAll="0"/>
    <pivotField showAll="0"/>
    <pivotField showAll="0"/>
    <pivotField numFmtId="14" showAl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showAll="0">
      <items count="3">
        <item x="1"/>
        <item x="0"/>
        <item t="default"/>
      </items>
    </pivotField>
    <pivotField numFmtId="165"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showAll="0" defaultSubtotal="0"/>
    <pivotField showAll="0" defaultSubtotal="0"/>
    <pivotField showAll="0" defaultSubtotal="0"/>
    <pivotField showAll="0" defaultSubtotal="0"/>
  </pivotFields>
  <rowFields count="1">
    <field x="5"/>
  </rowFields>
  <rowItems count="2">
    <i>
      <x/>
    </i>
    <i>
      <x v="1"/>
    </i>
  </rowItems>
  <colItems count="1">
    <i/>
  </colItems>
  <dataFields count="1">
    <dataField name="Contagem de ID do Assinante" fld="0" subtotal="count" baseField="4" baseItem="0"/>
  </dataFields>
  <pivotTableStyleInfo name="PivotStyleMedium5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ela dinâmica3" cacheId="25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4" indent="0" outline="1" outlineData="1" multipleFieldFilters="0" chartFormat="6">
  <location ref="G7:H10" firstHeaderRow="1" firstDataRow="1" firstDataCol="1"/>
  <pivotFields count="18">
    <pivotField showAll="0"/>
    <pivotField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/>
    <pivotField numFmtId="165" showAll="0"/>
    <pivotField showAll="0"/>
    <pivotField showAll="0"/>
    <pivotField showAll="0"/>
    <pivotField showAll="0"/>
    <pivotField numFmtId="165" showAll="0"/>
    <pivotField numFmtId="165" showAll="0"/>
    <pivotField dataField="1" numFmtId="165" showAl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2"/>
    </i>
    <i>
      <x v="1"/>
    </i>
    <i>
      <x/>
    </i>
  </rowItems>
  <colItems count="1">
    <i/>
  </colItems>
  <dataFields count="1">
    <dataField name="Soma de Valor Total" fld="13" baseField="6" baseItem="0"/>
  </dataFields>
  <formats count="3">
    <format dxfId="37">
      <pivotArea collapsedLevelsAreSubtotals="1" fieldPosition="0">
        <references count="1">
          <reference field="2" count="0"/>
        </references>
      </pivotArea>
    </format>
    <format dxfId="36">
      <pivotArea collapsedLevelsAreSubtotals="1" fieldPosition="0">
        <references count="1">
          <reference field="2" count="0"/>
        </references>
      </pivotArea>
    </format>
    <format dxfId="35">
      <pivotArea collapsedLevelsAreSubtotals="1" fieldPosition="0">
        <references count="1">
          <reference field="2" count="0"/>
        </references>
      </pivotArea>
    </format>
  </formats>
  <chartFormats count="5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5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ela dinâmica9" cacheId="25" dataPosition="0" applyNumberFormats="0" applyBorderFormats="0" applyFontFormats="0" applyPatternFormats="0" applyAlignmentFormats="0" applyWidthHeightFormats="1" dataCaption="Valores" updatedVersion="4" minRefreshableVersion="3" useAutoFormatting="1" rowGrandTotals="0" itemPrintTitles="1" createdVersion="4" indent="0" outline="1" outlineData="1" multipleFieldFilters="0" chartFormat="8">
  <location ref="D15:H28" firstHeaderRow="1" firstDataRow="2" firstDataCol="1"/>
  <pivotFields count="18">
    <pivotField showAll="0"/>
    <pivotField showAll="0"/>
    <pivotField showAll="0"/>
    <pivotField numFmtId="14" showAl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/>
    <pivotField numFmtId="165" showAll="0"/>
    <pivotField showAll="0"/>
    <pivotField showAll="0"/>
    <pivotField showAll="0"/>
    <pivotField showAll="0"/>
    <pivotField numFmtId="165" showAll="0"/>
    <pivotField numFmtId="165" showAll="0"/>
    <pivotField numFmtId="165" showAl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Faturamento EA Play" fld="15" baseField="4" baseItem="0"/>
    <dataField name="Faturamento Minecraft" fld="17" baseField="4" baseItem="0"/>
    <dataField name="Qtd EA Play" fld="14" baseField="4" baseItem="0"/>
    <dataField name="Qtd Minecraft" fld="16" baseField="0" baseItem="3404760"/>
  </dataFields>
  <formats count="4">
    <format dxfId="41">
      <pivotArea field="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0">
      <pivotArea field="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9">
      <pivotArea collapsedLevelsAreSubtotals="1" fieldPosition="0">
        <references count="2">
          <reference field="4294967294" count="1" selected="0">
            <x v="1"/>
          </reference>
          <reference field="4" count="0"/>
        </references>
      </pivotArea>
    </format>
    <format dxfId="38">
      <pivotArea collapsedLevelsAreSubtotals="1" fieldPosition="0">
        <references count="2">
          <reference field="4294967294" count="1" selected="0">
            <x v="0"/>
          </reference>
          <reference field="4" count="0"/>
        </references>
      </pivotArea>
    </format>
  </formats>
  <chartFormats count="5"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</chartFormats>
  <pivotTableStyleInfo name="PivotStyleMedium5" showRowHeaders="1" showColHeaders="1" showRowStripes="0" showColStripes="0" showLastColumn="1"/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1" sourceName="Mês">
  <pivotTables>
    <pivotTable tabId="7" name="Tabela dinâmica9"/>
    <pivotTable tabId="7" name="Tabela dinâmica1"/>
    <pivotTable tabId="7" name="Tabela dinâmica2"/>
    <pivotTable tabId="7" name="Tabela dinâmica3"/>
    <pivotTable tabId="7" name="Tabela dinâmica4"/>
  </pivotTables>
  <data>
    <tabular pivotCacheId="1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1" caption="Mês" style="Estilo de Segmentação de Dados 1" lockedPosition="1" rowHeight="216000"/>
</slicers>
</file>

<file path=xl/tables/table1.xml><?xml version="1.0" encoding="utf-8"?>
<table xmlns="http://schemas.openxmlformats.org/spreadsheetml/2006/main" id="2" name="Tabela2" displayName="Tabela2" ref="A1:R296" totalsRowShown="0" headerRowDxfId="79" dataDxfId="78" dataCellStyle="Moeda">
  <autoFilter ref="A1:R296"/>
  <tableColumns count="18">
    <tableColumn id="1" name="ID do Assinante" dataDxfId="77" totalsRowDxfId="76"/>
    <tableColumn id="2" name="Nome" dataDxfId="75" totalsRowDxfId="74"/>
    <tableColumn id="3" name="Plano" dataDxfId="73" totalsRowDxfId="72"/>
    <tableColumn id="4" name="Data de Início" dataDxfId="71" totalsRowDxfId="70"/>
    <tableColumn id="14" name="Mês" dataDxfId="69" totalsRowDxfId="68">
      <calculatedColumnFormula>PROPER(TEXT($D2,"mmmm"))</calculatedColumnFormula>
    </tableColumn>
    <tableColumn id="5" name="Renovação Automática" dataDxfId="67" totalsRowDxfId="66"/>
    <tableColumn id="6" name="Preço da Assinatura" dataDxfId="65" totalsRowDxfId="64" dataCellStyle="Moeda"/>
    <tableColumn id="7" name="Tipo de Assinatura" dataDxfId="63" totalsRowDxfId="62"/>
    <tableColumn id="8" name="Passe de Temporada do EA Play" dataDxfId="61" totalsRowDxfId="60"/>
    <tableColumn id="9" name="Preço EA Play" dataDxfId="59" totalsRowDxfId="58" dataCellStyle="Moeda"/>
    <tableColumn id="10" name="Passe de Temporada do Minecraft" dataDxfId="57" totalsRowDxfId="56"/>
    <tableColumn id="11" name="Preço Minecraft" dataDxfId="55" totalsRowDxfId="54" dataCellStyle="Moeda"/>
    <tableColumn id="12" name="Valor Cupom" dataDxfId="53" totalsRowDxfId="52" dataCellStyle="Moeda"/>
    <tableColumn id="13" name="Valor Total" dataDxfId="51" totalsRowDxfId="50" dataCellStyle="Moeda"/>
    <tableColumn id="15" name="EA_Qtd" dataDxfId="49" totalsRowDxfId="48" dataCellStyle="Moeda">
      <calculatedColumnFormula>IF($I2="Sim",1,"")</calculatedColumnFormula>
    </tableColumn>
    <tableColumn id="16" name="Faturamento EA Play" dataDxfId="47" totalsRowDxfId="46" dataCellStyle="Moeda">
      <calculatedColumnFormula>IF($I2="Sim",$J2,"")</calculatedColumnFormula>
    </tableColumn>
    <tableColumn id="17" name="MC_Qtd" dataDxfId="45" totalsRowDxfId="44" dataCellStyle="Moeda">
      <calculatedColumnFormula>IF($K2="Sim",1,"")</calculatedColumnFormula>
    </tableColumn>
    <tableColumn id="18" name="Faturamento Minecraft" dataDxfId="43" totalsRowDxfId="42" dataCellStyle="Moeda">
      <calculatedColumnFormula>IF($K2="Sim",$L2,"")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3" tint="0.749992370372631"/>
  </sheetPr>
  <dimension ref="A1:M296"/>
  <sheetViews>
    <sheetView showGridLines="0" zoomScale="80" zoomScaleNormal="80" workbookViewId="0">
      <selection activeCell="D19" sqref="D19"/>
    </sheetView>
  </sheetViews>
  <sheetFormatPr defaultRowHeight="14.25"/>
  <cols>
    <col min="1" max="1" width="17.375" style="3" bestFit="1" customWidth="1"/>
    <col min="2" max="2" width="18.875" style="7" bestFit="1" customWidth="1"/>
    <col min="3" max="3" width="8.875" style="7" bestFit="1" customWidth="1"/>
    <col min="4" max="4" width="15.25" style="3" bestFit="1" customWidth="1"/>
    <col min="5" max="5" width="24.25" style="7" customWidth="1"/>
    <col min="6" max="6" width="21.875" style="3" bestFit="1" customWidth="1"/>
    <col min="7" max="7" width="20.125" style="7" customWidth="1"/>
    <col min="8" max="8" width="32.625" style="7" customWidth="1"/>
    <col min="9" max="9" width="15.75" style="3" bestFit="1" customWidth="1"/>
    <col min="10" max="10" width="34.5" style="7" customWidth="1"/>
    <col min="11" max="11" width="17.75" style="3" bestFit="1" customWidth="1"/>
    <col min="12" max="12" width="14.875" style="3" bestFit="1" customWidth="1"/>
    <col min="13" max="13" width="13" style="3" bestFit="1" customWidth="1"/>
  </cols>
  <sheetData>
    <row r="1" spans="1:13" ht="15">
      <c r="A1" s="19" t="s">
        <v>284</v>
      </c>
      <c r="B1" s="18" t="s">
        <v>285</v>
      </c>
      <c r="C1" s="18" t="s">
        <v>286</v>
      </c>
      <c r="D1" s="20" t="s">
        <v>287</v>
      </c>
      <c r="E1" s="18" t="s">
        <v>288</v>
      </c>
      <c r="F1" s="20" t="s">
        <v>289</v>
      </c>
      <c r="G1" s="18" t="s">
        <v>290</v>
      </c>
      <c r="H1" s="18" t="s">
        <v>293</v>
      </c>
      <c r="I1" s="20" t="s">
        <v>296</v>
      </c>
      <c r="J1" s="18" t="s">
        <v>294</v>
      </c>
      <c r="K1" s="20" t="s">
        <v>295</v>
      </c>
      <c r="L1" s="20" t="s">
        <v>291</v>
      </c>
      <c r="M1" s="21" t="s">
        <v>292</v>
      </c>
    </row>
    <row r="2" spans="1:13" ht="16.5" customHeight="1">
      <c r="A2" s="5">
        <v>3231</v>
      </c>
      <c r="B2" s="9" t="s">
        <v>0</v>
      </c>
      <c r="C2" s="9" t="s">
        <v>1</v>
      </c>
      <c r="D2" s="6">
        <v>45292</v>
      </c>
      <c r="E2" s="9" t="s">
        <v>300</v>
      </c>
      <c r="F2" s="12">
        <v>15</v>
      </c>
      <c r="G2" s="9" t="s">
        <v>297</v>
      </c>
      <c r="H2" s="9" t="s">
        <v>300</v>
      </c>
      <c r="I2" s="13">
        <v>30</v>
      </c>
      <c r="J2" s="9" t="s">
        <v>300</v>
      </c>
      <c r="K2" s="13">
        <v>20</v>
      </c>
      <c r="L2" s="13">
        <v>5</v>
      </c>
      <c r="M2" s="15">
        <v>60</v>
      </c>
    </row>
    <row r="3" spans="1:13" ht="16.5" customHeight="1">
      <c r="A3" s="1">
        <v>3232</v>
      </c>
      <c r="B3" s="10" t="s">
        <v>2</v>
      </c>
      <c r="C3" s="10" t="s">
        <v>3</v>
      </c>
      <c r="D3" s="2">
        <v>45306</v>
      </c>
      <c r="E3" s="9" t="s">
        <v>301</v>
      </c>
      <c r="F3" s="12">
        <v>5</v>
      </c>
      <c r="G3" s="10" t="s">
        <v>299</v>
      </c>
      <c r="H3" s="9" t="s">
        <v>301</v>
      </c>
      <c r="I3" s="12" t="s">
        <v>283</v>
      </c>
      <c r="J3" s="9" t="s">
        <v>301</v>
      </c>
      <c r="K3" s="12">
        <v>0</v>
      </c>
      <c r="L3" s="12">
        <v>0</v>
      </c>
      <c r="M3" s="16">
        <v>5</v>
      </c>
    </row>
    <row r="4" spans="1:13" ht="16.5" customHeight="1">
      <c r="A4" s="1">
        <v>3233</v>
      </c>
      <c r="B4" s="10" t="s">
        <v>4</v>
      </c>
      <c r="C4" s="10" t="s">
        <v>5</v>
      </c>
      <c r="D4" s="2">
        <v>45332</v>
      </c>
      <c r="E4" s="9" t="s">
        <v>300</v>
      </c>
      <c r="F4" s="12">
        <v>10</v>
      </c>
      <c r="G4" s="10" t="s">
        <v>298</v>
      </c>
      <c r="H4" s="9" t="s">
        <v>301</v>
      </c>
      <c r="I4" s="12" t="s">
        <v>283</v>
      </c>
      <c r="J4" s="9" t="s">
        <v>300</v>
      </c>
      <c r="K4" s="12">
        <v>20</v>
      </c>
      <c r="L4" s="12">
        <v>10</v>
      </c>
      <c r="M4" s="16">
        <v>20</v>
      </c>
    </row>
    <row r="5" spans="1:13" ht="16.5" customHeight="1">
      <c r="A5" s="5">
        <v>3234</v>
      </c>
      <c r="B5" s="9" t="s">
        <v>6</v>
      </c>
      <c r="C5" s="9" t="s">
        <v>1</v>
      </c>
      <c r="D5" s="6">
        <v>45342</v>
      </c>
      <c r="E5" s="9" t="s">
        <v>301</v>
      </c>
      <c r="F5" s="13">
        <v>15</v>
      </c>
      <c r="G5" s="9" t="s">
        <v>297</v>
      </c>
      <c r="H5" s="9" t="s">
        <v>300</v>
      </c>
      <c r="I5" s="13">
        <v>30</v>
      </c>
      <c r="J5" s="9" t="s">
        <v>300</v>
      </c>
      <c r="K5" s="13">
        <v>20</v>
      </c>
      <c r="L5" s="13">
        <v>3</v>
      </c>
      <c r="M5" s="15">
        <v>62</v>
      </c>
    </row>
    <row r="6" spans="1:13" ht="16.5" customHeight="1">
      <c r="A6" s="1">
        <v>3235</v>
      </c>
      <c r="B6" s="10" t="s">
        <v>7</v>
      </c>
      <c r="C6" s="10" t="s">
        <v>3</v>
      </c>
      <c r="D6" s="2">
        <v>45356</v>
      </c>
      <c r="E6" s="9" t="s">
        <v>300</v>
      </c>
      <c r="F6" s="12">
        <v>5</v>
      </c>
      <c r="G6" s="10" t="s">
        <v>297</v>
      </c>
      <c r="H6" s="9" t="s">
        <v>301</v>
      </c>
      <c r="I6" s="12" t="s">
        <v>283</v>
      </c>
      <c r="J6" s="9" t="s">
        <v>301</v>
      </c>
      <c r="K6" s="12">
        <v>0</v>
      </c>
      <c r="L6" s="12">
        <v>1</v>
      </c>
      <c r="M6" s="16">
        <v>4</v>
      </c>
    </row>
    <row r="7" spans="1:13" ht="16.5" customHeight="1">
      <c r="A7" s="1">
        <v>3236</v>
      </c>
      <c r="B7" s="10" t="s">
        <v>8</v>
      </c>
      <c r="C7" s="10" t="s">
        <v>5</v>
      </c>
      <c r="D7" s="2">
        <v>45353</v>
      </c>
      <c r="E7" s="9" t="s">
        <v>301</v>
      </c>
      <c r="F7" s="12">
        <v>10</v>
      </c>
      <c r="G7" s="10" t="s">
        <v>297</v>
      </c>
      <c r="H7" s="9" t="s">
        <v>301</v>
      </c>
      <c r="I7" s="12" t="s">
        <v>283</v>
      </c>
      <c r="J7" s="9" t="s">
        <v>300</v>
      </c>
      <c r="K7" s="12">
        <v>20</v>
      </c>
      <c r="L7" s="12">
        <v>2</v>
      </c>
      <c r="M7" s="16">
        <v>28</v>
      </c>
    </row>
    <row r="8" spans="1:13" ht="16.5" customHeight="1">
      <c r="A8" s="5">
        <v>3237</v>
      </c>
      <c r="B8" s="9" t="s">
        <v>9</v>
      </c>
      <c r="C8" s="9" t="s">
        <v>1</v>
      </c>
      <c r="D8" s="6">
        <v>45354</v>
      </c>
      <c r="E8" s="9" t="s">
        <v>300</v>
      </c>
      <c r="F8" s="13">
        <v>15</v>
      </c>
      <c r="G8" s="9" t="s">
        <v>298</v>
      </c>
      <c r="H8" s="9" t="s">
        <v>300</v>
      </c>
      <c r="I8" s="13">
        <v>30</v>
      </c>
      <c r="J8" s="9" t="s">
        <v>300</v>
      </c>
      <c r="K8" s="13">
        <v>20</v>
      </c>
      <c r="L8" s="13">
        <v>10</v>
      </c>
      <c r="M8" s="15">
        <v>55</v>
      </c>
    </row>
    <row r="9" spans="1:13" ht="16.5" customHeight="1">
      <c r="A9" s="1">
        <v>3238</v>
      </c>
      <c r="B9" s="10" t="s">
        <v>10</v>
      </c>
      <c r="C9" s="10" t="s">
        <v>3</v>
      </c>
      <c r="D9" s="2">
        <v>45355</v>
      </c>
      <c r="E9" s="9" t="s">
        <v>300</v>
      </c>
      <c r="F9" s="12">
        <v>5</v>
      </c>
      <c r="G9" s="10" t="s">
        <v>299</v>
      </c>
      <c r="H9" s="9" t="s">
        <v>301</v>
      </c>
      <c r="I9" s="12" t="s">
        <v>283</v>
      </c>
      <c r="J9" s="9" t="s">
        <v>301</v>
      </c>
      <c r="K9" s="12">
        <v>0</v>
      </c>
      <c r="L9" s="12">
        <v>0</v>
      </c>
      <c r="M9" s="16">
        <v>5</v>
      </c>
    </row>
    <row r="10" spans="1:13" ht="16.5" customHeight="1">
      <c r="A10" s="5">
        <v>3239</v>
      </c>
      <c r="B10" s="9" t="s">
        <v>11</v>
      </c>
      <c r="C10" s="9" t="s">
        <v>1</v>
      </c>
      <c r="D10" s="6">
        <v>45356</v>
      </c>
      <c r="E10" s="9" t="s">
        <v>301</v>
      </c>
      <c r="F10" s="13">
        <v>15</v>
      </c>
      <c r="G10" s="9" t="s">
        <v>297</v>
      </c>
      <c r="H10" s="9" t="s">
        <v>300</v>
      </c>
      <c r="I10" s="13">
        <v>30</v>
      </c>
      <c r="J10" s="9" t="s">
        <v>300</v>
      </c>
      <c r="K10" s="13">
        <v>20</v>
      </c>
      <c r="L10" s="13">
        <v>5</v>
      </c>
      <c r="M10" s="15">
        <v>60</v>
      </c>
    </row>
    <row r="11" spans="1:13" ht="16.5" customHeight="1">
      <c r="A11" s="1">
        <v>3240</v>
      </c>
      <c r="B11" s="10" t="s">
        <v>12</v>
      </c>
      <c r="C11" s="10" t="s">
        <v>5</v>
      </c>
      <c r="D11" s="2">
        <v>45357</v>
      </c>
      <c r="E11" s="9" t="s">
        <v>300</v>
      </c>
      <c r="F11" s="12">
        <v>10</v>
      </c>
      <c r="G11" s="10" t="s">
        <v>298</v>
      </c>
      <c r="H11" s="9" t="s">
        <v>301</v>
      </c>
      <c r="I11" s="12" t="s">
        <v>283</v>
      </c>
      <c r="J11" s="9" t="s">
        <v>300</v>
      </c>
      <c r="K11" s="12">
        <v>20</v>
      </c>
      <c r="L11" s="12">
        <v>15</v>
      </c>
      <c r="M11" s="16">
        <v>15</v>
      </c>
    </row>
    <row r="12" spans="1:13" ht="16.5" customHeight="1">
      <c r="A12" s="1">
        <v>3241</v>
      </c>
      <c r="B12" s="10" t="s">
        <v>13</v>
      </c>
      <c r="C12" s="10" t="s">
        <v>3</v>
      </c>
      <c r="D12" s="2">
        <v>45358</v>
      </c>
      <c r="E12" s="9" t="s">
        <v>301</v>
      </c>
      <c r="F12" s="12">
        <v>5</v>
      </c>
      <c r="G12" s="10" t="s">
        <v>297</v>
      </c>
      <c r="H12" s="9" t="s">
        <v>301</v>
      </c>
      <c r="I12" s="12" t="s">
        <v>283</v>
      </c>
      <c r="J12" s="9" t="s">
        <v>301</v>
      </c>
      <c r="K12" s="12">
        <v>0</v>
      </c>
      <c r="L12" s="12">
        <v>1</v>
      </c>
      <c r="M12" s="16">
        <v>4</v>
      </c>
    </row>
    <row r="13" spans="1:13" ht="16.5" customHeight="1">
      <c r="A13" s="5">
        <v>3242</v>
      </c>
      <c r="B13" s="9" t="s">
        <v>14</v>
      </c>
      <c r="C13" s="9" t="s">
        <v>1</v>
      </c>
      <c r="D13" s="6">
        <v>45359</v>
      </c>
      <c r="E13" s="9" t="s">
        <v>300</v>
      </c>
      <c r="F13" s="13">
        <v>15</v>
      </c>
      <c r="G13" s="9" t="s">
        <v>299</v>
      </c>
      <c r="H13" s="9" t="s">
        <v>300</v>
      </c>
      <c r="I13" s="13">
        <v>30</v>
      </c>
      <c r="J13" s="9" t="s">
        <v>300</v>
      </c>
      <c r="K13" s="13">
        <v>20</v>
      </c>
      <c r="L13" s="13">
        <v>20</v>
      </c>
      <c r="M13" s="15">
        <v>45</v>
      </c>
    </row>
    <row r="14" spans="1:13" ht="16.5" customHeight="1">
      <c r="A14" s="1">
        <v>3243</v>
      </c>
      <c r="B14" s="10" t="s">
        <v>15</v>
      </c>
      <c r="C14" s="10" t="s">
        <v>5</v>
      </c>
      <c r="D14" s="2">
        <v>45360</v>
      </c>
      <c r="E14" s="9" t="s">
        <v>301</v>
      </c>
      <c r="F14" s="12">
        <v>10</v>
      </c>
      <c r="G14" s="10" t="s">
        <v>297</v>
      </c>
      <c r="H14" s="9" t="s">
        <v>301</v>
      </c>
      <c r="I14" s="12" t="s">
        <v>283</v>
      </c>
      <c r="J14" s="9" t="s">
        <v>300</v>
      </c>
      <c r="K14" s="12">
        <v>20</v>
      </c>
      <c r="L14" s="12">
        <v>10</v>
      </c>
      <c r="M14" s="16">
        <v>20</v>
      </c>
    </row>
    <row r="15" spans="1:13" ht="16.5" customHeight="1">
      <c r="A15" s="1">
        <v>3244</v>
      </c>
      <c r="B15" s="10" t="s">
        <v>16</v>
      </c>
      <c r="C15" s="10" t="s">
        <v>3</v>
      </c>
      <c r="D15" s="2">
        <v>45361</v>
      </c>
      <c r="E15" s="9" t="s">
        <v>300</v>
      </c>
      <c r="F15" s="12">
        <v>5</v>
      </c>
      <c r="G15" s="10" t="s">
        <v>298</v>
      </c>
      <c r="H15" s="9" t="s">
        <v>301</v>
      </c>
      <c r="I15" s="12" t="s">
        <v>283</v>
      </c>
      <c r="J15" s="9" t="s">
        <v>301</v>
      </c>
      <c r="K15" s="12">
        <v>0</v>
      </c>
      <c r="L15" s="12">
        <v>0</v>
      </c>
      <c r="M15" s="16">
        <v>5</v>
      </c>
    </row>
    <row r="16" spans="1:13" ht="16.5" customHeight="1">
      <c r="A16" s="5">
        <v>3245</v>
      </c>
      <c r="B16" s="9" t="s">
        <v>17</v>
      </c>
      <c r="C16" s="9" t="s">
        <v>1</v>
      </c>
      <c r="D16" s="6">
        <v>45362</v>
      </c>
      <c r="E16" s="9" t="s">
        <v>301</v>
      </c>
      <c r="F16" s="13">
        <v>15</v>
      </c>
      <c r="G16" s="9" t="s">
        <v>297</v>
      </c>
      <c r="H16" s="9" t="s">
        <v>300</v>
      </c>
      <c r="I16" s="13">
        <v>30</v>
      </c>
      <c r="J16" s="9" t="s">
        <v>300</v>
      </c>
      <c r="K16" s="13">
        <v>20</v>
      </c>
      <c r="L16" s="13">
        <v>8</v>
      </c>
      <c r="M16" s="15">
        <v>57</v>
      </c>
    </row>
    <row r="17" spans="1:13" ht="16.5" customHeight="1">
      <c r="A17" s="1">
        <v>3246</v>
      </c>
      <c r="B17" s="10" t="s">
        <v>18</v>
      </c>
      <c r="C17" s="10" t="s">
        <v>5</v>
      </c>
      <c r="D17" s="2">
        <v>45363</v>
      </c>
      <c r="E17" s="9" t="s">
        <v>300</v>
      </c>
      <c r="F17" s="12">
        <v>10</v>
      </c>
      <c r="G17" s="10" t="s">
        <v>299</v>
      </c>
      <c r="H17" s="9" t="s">
        <v>301</v>
      </c>
      <c r="I17" s="12" t="s">
        <v>283</v>
      </c>
      <c r="J17" s="9" t="s">
        <v>300</v>
      </c>
      <c r="K17" s="12">
        <v>20</v>
      </c>
      <c r="L17" s="12">
        <v>12</v>
      </c>
      <c r="M17" s="16">
        <v>18</v>
      </c>
    </row>
    <row r="18" spans="1:13" ht="16.5" customHeight="1">
      <c r="A18" s="1">
        <v>3247</v>
      </c>
      <c r="B18" s="10" t="s">
        <v>19</v>
      </c>
      <c r="C18" s="10" t="s">
        <v>3</v>
      </c>
      <c r="D18" s="2">
        <v>45364</v>
      </c>
      <c r="E18" s="9" t="s">
        <v>301</v>
      </c>
      <c r="F18" s="12">
        <v>5</v>
      </c>
      <c r="G18" s="10" t="s">
        <v>297</v>
      </c>
      <c r="H18" s="9" t="s">
        <v>301</v>
      </c>
      <c r="I18" s="12" t="s">
        <v>283</v>
      </c>
      <c r="J18" s="9" t="s">
        <v>301</v>
      </c>
      <c r="K18" s="12">
        <v>0</v>
      </c>
      <c r="L18" s="12">
        <v>2</v>
      </c>
      <c r="M18" s="16">
        <v>3</v>
      </c>
    </row>
    <row r="19" spans="1:13" ht="16.5" customHeight="1">
      <c r="A19" s="5">
        <v>3248</v>
      </c>
      <c r="B19" s="9" t="s">
        <v>20</v>
      </c>
      <c r="C19" s="9" t="s">
        <v>1</v>
      </c>
      <c r="D19" s="6">
        <v>45365</v>
      </c>
      <c r="E19" s="9" t="s">
        <v>300</v>
      </c>
      <c r="F19" s="13">
        <v>15</v>
      </c>
      <c r="G19" s="9" t="s">
        <v>298</v>
      </c>
      <c r="H19" s="9" t="s">
        <v>300</v>
      </c>
      <c r="I19" s="13">
        <v>30</v>
      </c>
      <c r="J19" s="9" t="s">
        <v>300</v>
      </c>
      <c r="K19" s="13">
        <v>20</v>
      </c>
      <c r="L19" s="13">
        <v>7</v>
      </c>
      <c r="M19" s="15">
        <v>58</v>
      </c>
    </row>
    <row r="20" spans="1:13" ht="16.5" customHeight="1">
      <c r="A20" s="1">
        <v>3249</v>
      </c>
      <c r="B20" s="10" t="s">
        <v>21</v>
      </c>
      <c r="C20" s="10" t="s">
        <v>5</v>
      </c>
      <c r="D20" s="2">
        <v>45366</v>
      </c>
      <c r="E20" s="9" t="s">
        <v>301</v>
      </c>
      <c r="F20" s="12">
        <v>10</v>
      </c>
      <c r="G20" s="10" t="s">
        <v>297</v>
      </c>
      <c r="H20" s="9" t="s">
        <v>301</v>
      </c>
      <c r="I20" s="12" t="s">
        <v>283</v>
      </c>
      <c r="J20" s="9" t="s">
        <v>300</v>
      </c>
      <c r="K20" s="12">
        <v>20</v>
      </c>
      <c r="L20" s="12">
        <v>5</v>
      </c>
      <c r="M20" s="16">
        <v>25</v>
      </c>
    </row>
    <row r="21" spans="1:13" ht="16.5" customHeight="1">
      <c r="A21" s="1">
        <v>3250</v>
      </c>
      <c r="B21" s="10" t="s">
        <v>22</v>
      </c>
      <c r="C21" s="10" t="s">
        <v>3</v>
      </c>
      <c r="D21" s="2">
        <v>45367</v>
      </c>
      <c r="E21" s="9" t="s">
        <v>300</v>
      </c>
      <c r="F21" s="12">
        <v>5</v>
      </c>
      <c r="G21" s="10" t="s">
        <v>299</v>
      </c>
      <c r="H21" s="9" t="s">
        <v>301</v>
      </c>
      <c r="I21" s="12" t="s">
        <v>283</v>
      </c>
      <c r="J21" s="9" t="s">
        <v>301</v>
      </c>
      <c r="K21" s="12">
        <v>0</v>
      </c>
      <c r="L21" s="12">
        <v>0</v>
      </c>
      <c r="M21" s="16">
        <v>5</v>
      </c>
    </row>
    <row r="22" spans="1:13" ht="16.5" customHeight="1">
      <c r="A22" s="5">
        <v>3251</v>
      </c>
      <c r="B22" s="9" t="s">
        <v>23</v>
      </c>
      <c r="C22" s="9" t="s">
        <v>1</v>
      </c>
      <c r="D22" s="6">
        <v>45368</v>
      </c>
      <c r="E22" s="9" t="s">
        <v>301</v>
      </c>
      <c r="F22" s="13">
        <v>15</v>
      </c>
      <c r="G22" s="9" t="s">
        <v>297</v>
      </c>
      <c r="H22" s="9" t="s">
        <v>300</v>
      </c>
      <c r="I22" s="13">
        <v>30</v>
      </c>
      <c r="J22" s="9" t="s">
        <v>300</v>
      </c>
      <c r="K22" s="13">
        <v>20</v>
      </c>
      <c r="L22" s="13">
        <v>3</v>
      </c>
      <c r="M22" s="15">
        <v>62</v>
      </c>
    </row>
    <row r="23" spans="1:13" ht="16.5" customHeight="1">
      <c r="A23" s="1">
        <v>3252</v>
      </c>
      <c r="B23" s="10" t="s">
        <v>24</v>
      </c>
      <c r="C23" s="10" t="s">
        <v>5</v>
      </c>
      <c r="D23" s="2">
        <v>45369</v>
      </c>
      <c r="E23" s="9" t="s">
        <v>300</v>
      </c>
      <c r="F23" s="12">
        <v>10</v>
      </c>
      <c r="G23" s="10" t="s">
        <v>298</v>
      </c>
      <c r="H23" s="9" t="s">
        <v>301</v>
      </c>
      <c r="I23" s="12" t="s">
        <v>283</v>
      </c>
      <c r="J23" s="9" t="s">
        <v>300</v>
      </c>
      <c r="K23" s="12">
        <v>20</v>
      </c>
      <c r="L23" s="12">
        <v>15</v>
      </c>
      <c r="M23" s="16">
        <v>15</v>
      </c>
    </row>
    <row r="24" spans="1:13" ht="16.5" customHeight="1">
      <c r="A24" s="1">
        <v>3253</v>
      </c>
      <c r="B24" s="10" t="s">
        <v>25</v>
      </c>
      <c r="C24" s="10" t="s">
        <v>3</v>
      </c>
      <c r="D24" s="2">
        <v>45370</v>
      </c>
      <c r="E24" s="9" t="s">
        <v>301</v>
      </c>
      <c r="F24" s="12">
        <v>5</v>
      </c>
      <c r="G24" s="10" t="s">
        <v>297</v>
      </c>
      <c r="H24" s="9" t="s">
        <v>301</v>
      </c>
      <c r="I24" s="12" t="s">
        <v>283</v>
      </c>
      <c r="J24" s="9" t="s">
        <v>301</v>
      </c>
      <c r="K24" s="12">
        <v>0</v>
      </c>
      <c r="L24" s="12">
        <v>1</v>
      </c>
      <c r="M24" s="16">
        <v>4</v>
      </c>
    </row>
    <row r="25" spans="1:13" ht="16.5" customHeight="1">
      <c r="A25" s="5">
        <v>3254</v>
      </c>
      <c r="B25" s="9" t="s">
        <v>26</v>
      </c>
      <c r="C25" s="9" t="s">
        <v>1</v>
      </c>
      <c r="D25" s="6">
        <v>45371</v>
      </c>
      <c r="E25" s="9" t="s">
        <v>300</v>
      </c>
      <c r="F25" s="13">
        <v>15</v>
      </c>
      <c r="G25" s="9" t="s">
        <v>299</v>
      </c>
      <c r="H25" s="9" t="s">
        <v>300</v>
      </c>
      <c r="I25" s="13">
        <v>30</v>
      </c>
      <c r="J25" s="9" t="s">
        <v>300</v>
      </c>
      <c r="K25" s="13">
        <v>20</v>
      </c>
      <c r="L25" s="13">
        <v>20</v>
      </c>
      <c r="M25" s="15">
        <v>45</v>
      </c>
    </row>
    <row r="26" spans="1:13" ht="16.5" customHeight="1">
      <c r="A26" s="1">
        <v>3255</v>
      </c>
      <c r="B26" s="10" t="s">
        <v>27</v>
      </c>
      <c r="C26" s="10" t="s">
        <v>5</v>
      </c>
      <c r="D26" s="2">
        <v>45372</v>
      </c>
      <c r="E26" s="9" t="s">
        <v>301</v>
      </c>
      <c r="F26" s="12">
        <v>10</v>
      </c>
      <c r="G26" s="10" t="s">
        <v>297</v>
      </c>
      <c r="H26" s="9" t="s">
        <v>301</v>
      </c>
      <c r="I26" s="12" t="s">
        <v>283</v>
      </c>
      <c r="J26" s="9" t="s">
        <v>300</v>
      </c>
      <c r="K26" s="12">
        <v>20</v>
      </c>
      <c r="L26" s="12">
        <v>10</v>
      </c>
      <c r="M26" s="16">
        <v>20</v>
      </c>
    </row>
    <row r="27" spans="1:13" ht="16.5" customHeight="1">
      <c r="A27" s="1">
        <v>3256</v>
      </c>
      <c r="B27" s="10" t="s">
        <v>28</v>
      </c>
      <c r="C27" s="10" t="s">
        <v>3</v>
      </c>
      <c r="D27" s="2">
        <v>45373</v>
      </c>
      <c r="E27" s="9" t="s">
        <v>300</v>
      </c>
      <c r="F27" s="12">
        <v>5</v>
      </c>
      <c r="G27" s="10" t="s">
        <v>298</v>
      </c>
      <c r="H27" s="9" t="s">
        <v>301</v>
      </c>
      <c r="I27" s="12" t="s">
        <v>283</v>
      </c>
      <c r="J27" s="9" t="s">
        <v>301</v>
      </c>
      <c r="K27" s="12">
        <v>0</v>
      </c>
      <c r="L27" s="12">
        <v>0</v>
      </c>
      <c r="M27" s="16">
        <v>5</v>
      </c>
    </row>
    <row r="28" spans="1:13" ht="16.5" customHeight="1">
      <c r="A28" s="5">
        <v>3257</v>
      </c>
      <c r="B28" s="9" t="s">
        <v>29</v>
      </c>
      <c r="C28" s="9" t="s">
        <v>1</v>
      </c>
      <c r="D28" s="6">
        <v>45374</v>
      </c>
      <c r="E28" s="9" t="s">
        <v>301</v>
      </c>
      <c r="F28" s="13">
        <v>15</v>
      </c>
      <c r="G28" s="9" t="s">
        <v>297</v>
      </c>
      <c r="H28" s="9" t="s">
        <v>300</v>
      </c>
      <c r="I28" s="13">
        <v>30</v>
      </c>
      <c r="J28" s="9" t="s">
        <v>300</v>
      </c>
      <c r="K28" s="13">
        <v>20</v>
      </c>
      <c r="L28" s="13">
        <v>5</v>
      </c>
      <c r="M28" s="15">
        <v>60</v>
      </c>
    </row>
    <row r="29" spans="1:13" ht="16.5" customHeight="1">
      <c r="A29" s="1">
        <v>3258</v>
      </c>
      <c r="B29" s="10" t="s">
        <v>30</v>
      </c>
      <c r="C29" s="10" t="s">
        <v>5</v>
      </c>
      <c r="D29" s="2">
        <v>45375</v>
      </c>
      <c r="E29" s="9" t="s">
        <v>300</v>
      </c>
      <c r="F29" s="12">
        <v>10</v>
      </c>
      <c r="G29" s="10" t="s">
        <v>299</v>
      </c>
      <c r="H29" s="9" t="s">
        <v>301</v>
      </c>
      <c r="I29" s="12" t="s">
        <v>283</v>
      </c>
      <c r="J29" s="9" t="s">
        <v>300</v>
      </c>
      <c r="K29" s="12">
        <v>20</v>
      </c>
      <c r="L29" s="12">
        <v>15</v>
      </c>
      <c r="M29" s="16">
        <v>15</v>
      </c>
    </row>
    <row r="30" spans="1:13" ht="16.5" customHeight="1">
      <c r="A30" s="1">
        <v>3259</v>
      </c>
      <c r="B30" s="10" t="s">
        <v>31</v>
      </c>
      <c r="C30" s="10" t="s">
        <v>3</v>
      </c>
      <c r="D30" s="2">
        <v>45376</v>
      </c>
      <c r="E30" s="9" t="s">
        <v>301</v>
      </c>
      <c r="F30" s="12">
        <v>5</v>
      </c>
      <c r="G30" s="10" t="s">
        <v>297</v>
      </c>
      <c r="H30" s="9" t="s">
        <v>301</v>
      </c>
      <c r="I30" s="12" t="s">
        <v>283</v>
      </c>
      <c r="J30" s="9" t="s">
        <v>301</v>
      </c>
      <c r="K30" s="12">
        <v>0</v>
      </c>
      <c r="L30" s="12">
        <v>1</v>
      </c>
      <c r="M30" s="16">
        <v>4</v>
      </c>
    </row>
    <row r="31" spans="1:13" ht="16.5" customHeight="1">
      <c r="A31" s="5">
        <v>3260</v>
      </c>
      <c r="B31" s="9" t="s">
        <v>32</v>
      </c>
      <c r="C31" s="9" t="s">
        <v>1</v>
      </c>
      <c r="D31" s="6">
        <v>45377</v>
      </c>
      <c r="E31" s="9" t="s">
        <v>300</v>
      </c>
      <c r="F31" s="13">
        <v>15</v>
      </c>
      <c r="G31" s="9" t="s">
        <v>298</v>
      </c>
      <c r="H31" s="9" t="s">
        <v>300</v>
      </c>
      <c r="I31" s="13">
        <v>30</v>
      </c>
      <c r="J31" s="9" t="s">
        <v>300</v>
      </c>
      <c r="K31" s="13">
        <v>20</v>
      </c>
      <c r="L31" s="13">
        <v>7</v>
      </c>
      <c r="M31" s="15">
        <v>58</v>
      </c>
    </row>
    <row r="32" spans="1:13" ht="16.5" customHeight="1">
      <c r="A32" s="1">
        <v>3261</v>
      </c>
      <c r="B32" s="10" t="s">
        <v>33</v>
      </c>
      <c r="C32" s="10" t="s">
        <v>5</v>
      </c>
      <c r="D32" s="2">
        <v>45378</v>
      </c>
      <c r="E32" s="9" t="s">
        <v>301</v>
      </c>
      <c r="F32" s="12">
        <v>10</v>
      </c>
      <c r="G32" s="10" t="s">
        <v>297</v>
      </c>
      <c r="H32" s="9" t="s">
        <v>301</v>
      </c>
      <c r="I32" s="12" t="s">
        <v>283</v>
      </c>
      <c r="J32" s="9" t="s">
        <v>300</v>
      </c>
      <c r="K32" s="12">
        <v>20</v>
      </c>
      <c r="L32" s="12">
        <v>10</v>
      </c>
      <c r="M32" s="16">
        <v>20</v>
      </c>
    </row>
    <row r="33" spans="1:13" ht="16.5" customHeight="1">
      <c r="A33" s="1">
        <v>3262</v>
      </c>
      <c r="B33" s="10" t="s">
        <v>34</v>
      </c>
      <c r="C33" s="10" t="s">
        <v>3</v>
      </c>
      <c r="D33" s="2">
        <v>45379</v>
      </c>
      <c r="E33" s="9" t="s">
        <v>300</v>
      </c>
      <c r="F33" s="12">
        <v>5</v>
      </c>
      <c r="G33" s="10" t="s">
        <v>299</v>
      </c>
      <c r="H33" s="9" t="s">
        <v>301</v>
      </c>
      <c r="I33" s="12" t="s">
        <v>283</v>
      </c>
      <c r="J33" s="9" t="s">
        <v>301</v>
      </c>
      <c r="K33" s="12">
        <v>0</v>
      </c>
      <c r="L33" s="12">
        <v>0</v>
      </c>
      <c r="M33" s="16">
        <v>5</v>
      </c>
    </row>
    <row r="34" spans="1:13" ht="16.5" customHeight="1">
      <c r="A34" s="5">
        <v>3263</v>
      </c>
      <c r="B34" s="9" t="s">
        <v>35</v>
      </c>
      <c r="C34" s="9" t="s">
        <v>1</v>
      </c>
      <c r="D34" s="6">
        <v>45380</v>
      </c>
      <c r="E34" s="9" t="s">
        <v>301</v>
      </c>
      <c r="F34" s="13">
        <v>15</v>
      </c>
      <c r="G34" s="9" t="s">
        <v>297</v>
      </c>
      <c r="H34" s="9" t="s">
        <v>300</v>
      </c>
      <c r="I34" s="13">
        <v>30</v>
      </c>
      <c r="J34" s="9" t="s">
        <v>300</v>
      </c>
      <c r="K34" s="13">
        <v>20</v>
      </c>
      <c r="L34" s="13">
        <v>3</v>
      </c>
      <c r="M34" s="15">
        <v>62</v>
      </c>
    </row>
    <row r="35" spans="1:13" ht="16.5" customHeight="1">
      <c r="A35" s="1">
        <v>3264</v>
      </c>
      <c r="B35" s="10" t="s">
        <v>36</v>
      </c>
      <c r="C35" s="10" t="s">
        <v>5</v>
      </c>
      <c r="D35" s="2">
        <v>45381</v>
      </c>
      <c r="E35" s="9" t="s">
        <v>300</v>
      </c>
      <c r="F35" s="12">
        <v>10</v>
      </c>
      <c r="G35" s="10" t="s">
        <v>298</v>
      </c>
      <c r="H35" s="9" t="s">
        <v>301</v>
      </c>
      <c r="I35" s="12" t="s">
        <v>283</v>
      </c>
      <c r="J35" s="9" t="s">
        <v>300</v>
      </c>
      <c r="K35" s="12">
        <v>20</v>
      </c>
      <c r="L35" s="12">
        <v>15</v>
      </c>
      <c r="M35" s="16">
        <v>15</v>
      </c>
    </row>
    <row r="36" spans="1:13" ht="16.5" customHeight="1">
      <c r="A36" s="1">
        <v>3265</v>
      </c>
      <c r="B36" s="10" t="s">
        <v>37</v>
      </c>
      <c r="C36" s="10" t="s">
        <v>3</v>
      </c>
      <c r="D36" s="2">
        <v>45382</v>
      </c>
      <c r="E36" s="9" t="s">
        <v>301</v>
      </c>
      <c r="F36" s="12">
        <v>5</v>
      </c>
      <c r="G36" s="10" t="s">
        <v>297</v>
      </c>
      <c r="H36" s="9" t="s">
        <v>301</v>
      </c>
      <c r="I36" s="12" t="s">
        <v>283</v>
      </c>
      <c r="J36" s="9" t="s">
        <v>301</v>
      </c>
      <c r="K36" s="12">
        <v>0</v>
      </c>
      <c r="L36" s="12">
        <v>1</v>
      </c>
      <c r="M36" s="16">
        <v>4</v>
      </c>
    </row>
    <row r="37" spans="1:13" ht="16.5" customHeight="1">
      <c r="A37" s="1">
        <v>3266</v>
      </c>
      <c r="B37" s="10" t="s">
        <v>38</v>
      </c>
      <c r="C37" s="10" t="s">
        <v>3</v>
      </c>
      <c r="D37" s="2">
        <v>45383</v>
      </c>
      <c r="E37" s="9" t="s">
        <v>300</v>
      </c>
      <c r="F37" s="12">
        <v>5</v>
      </c>
      <c r="G37" s="10" t="s">
        <v>297</v>
      </c>
      <c r="H37" s="9" t="s">
        <v>301</v>
      </c>
      <c r="I37" s="12" t="s">
        <v>283</v>
      </c>
      <c r="J37" s="9" t="s">
        <v>301</v>
      </c>
      <c r="K37" s="12">
        <v>0</v>
      </c>
      <c r="L37" s="12">
        <v>0</v>
      </c>
      <c r="M37" s="16">
        <v>5</v>
      </c>
    </row>
    <row r="38" spans="1:13" ht="16.5" customHeight="1">
      <c r="A38" s="5">
        <v>3267</v>
      </c>
      <c r="B38" s="9" t="s">
        <v>39</v>
      </c>
      <c r="C38" s="9" t="s">
        <v>1</v>
      </c>
      <c r="D38" s="6">
        <v>45384</v>
      </c>
      <c r="E38" s="9" t="s">
        <v>301</v>
      </c>
      <c r="F38" s="13">
        <v>15</v>
      </c>
      <c r="G38" s="9" t="s">
        <v>298</v>
      </c>
      <c r="H38" s="9" t="s">
        <v>300</v>
      </c>
      <c r="I38" s="13">
        <v>30</v>
      </c>
      <c r="J38" s="9" t="s">
        <v>300</v>
      </c>
      <c r="K38" s="13">
        <v>20</v>
      </c>
      <c r="L38" s="13">
        <v>7</v>
      </c>
      <c r="M38" s="15">
        <v>58</v>
      </c>
    </row>
    <row r="39" spans="1:13" ht="16.5" customHeight="1">
      <c r="A39" s="1">
        <v>3268</v>
      </c>
      <c r="B39" s="10" t="s">
        <v>40</v>
      </c>
      <c r="C39" s="10" t="s">
        <v>5</v>
      </c>
      <c r="D39" s="2">
        <v>45385</v>
      </c>
      <c r="E39" s="9" t="s">
        <v>300</v>
      </c>
      <c r="F39" s="12">
        <v>10</v>
      </c>
      <c r="G39" s="10" t="s">
        <v>299</v>
      </c>
      <c r="H39" s="9" t="s">
        <v>301</v>
      </c>
      <c r="I39" s="12" t="s">
        <v>283</v>
      </c>
      <c r="J39" s="9" t="s">
        <v>300</v>
      </c>
      <c r="K39" s="12">
        <v>20</v>
      </c>
      <c r="L39" s="12">
        <v>10</v>
      </c>
      <c r="M39" s="16">
        <v>20</v>
      </c>
    </row>
    <row r="40" spans="1:13" ht="16.5" customHeight="1">
      <c r="A40" s="1">
        <v>3269</v>
      </c>
      <c r="B40" s="10" t="s">
        <v>41</v>
      </c>
      <c r="C40" s="10" t="s">
        <v>3</v>
      </c>
      <c r="D40" s="2">
        <v>45386</v>
      </c>
      <c r="E40" s="9" t="s">
        <v>301</v>
      </c>
      <c r="F40" s="12">
        <v>5</v>
      </c>
      <c r="G40" s="10" t="s">
        <v>298</v>
      </c>
      <c r="H40" s="9" t="s">
        <v>301</v>
      </c>
      <c r="I40" s="12" t="s">
        <v>283</v>
      </c>
      <c r="J40" s="9" t="s">
        <v>301</v>
      </c>
      <c r="K40" s="12">
        <v>0</v>
      </c>
      <c r="L40" s="12">
        <v>1</v>
      </c>
      <c r="M40" s="16">
        <v>4</v>
      </c>
    </row>
    <row r="41" spans="1:13" ht="16.5" customHeight="1">
      <c r="A41" s="5">
        <v>3270</v>
      </c>
      <c r="B41" s="9" t="s">
        <v>42</v>
      </c>
      <c r="C41" s="9" t="s">
        <v>1</v>
      </c>
      <c r="D41" s="6">
        <v>45387</v>
      </c>
      <c r="E41" s="9" t="s">
        <v>300</v>
      </c>
      <c r="F41" s="13">
        <v>15</v>
      </c>
      <c r="G41" s="9" t="s">
        <v>297</v>
      </c>
      <c r="H41" s="9" t="s">
        <v>300</v>
      </c>
      <c r="I41" s="13">
        <v>30</v>
      </c>
      <c r="J41" s="9" t="s">
        <v>300</v>
      </c>
      <c r="K41" s="13">
        <v>20</v>
      </c>
      <c r="L41" s="13">
        <v>15</v>
      </c>
      <c r="M41" s="15">
        <v>50</v>
      </c>
    </row>
    <row r="42" spans="1:13" ht="16.5" customHeight="1">
      <c r="A42" s="1">
        <v>3271</v>
      </c>
      <c r="B42" s="10" t="s">
        <v>43</v>
      </c>
      <c r="C42" s="10" t="s">
        <v>5</v>
      </c>
      <c r="D42" s="2">
        <v>45388</v>
      </c>
      <c r="E42" s="9" t="s">
        <v>301</v>
      </c>
      <c r="F42" s="12">
        <v>10</v>
      </c>
      <c r="G42" s="10" t="s">
        <v>297</v>
      </c>
      <c r="H42" s="9" t="s">
        <v>301</v>
      </c>
      <c r="I42" s="12" t="s">
        <v>283</v>
      </c>
      <c r="J42" s="9" t="s">
        <v>300</v>
      </c>
      <c r="K42" s="12">
        <v>20</v>
      </c>
      <c r="L42" s="12">
        <v>5</v>
      </c>
      <c r="M42" s="16">
        <v>25</v>
      </c>
    </row>
    <row r="43" spans="1:13" ht="16.5" customHeight="1">
      <c r="A43" s="1">
        <v>3272</v>
      </c>
      <c r="B43" s="10" t="s">
        <v>44</v>
      </c>
      <c r="C43" s="10" t="s">
        <v>3</v>
      </c>
      <c r="D43" s="2">
        <v>45389</v>
      </c>
      <c r="E43" s="9" t="s">
        <v>300</v>
      </c>
      <c r="F43" s="12">
        <v>5</v>
      </c>
      <c r="G43" s="10" t="s">
        <v>299</v>
      </c>
      <c r="H43" s="9" t="s">
        <v>301</v>
      </c>
      <c r="I43" s="12" t="s">
        <v>283</v>
      </c>
      <c r="J43" s="9" t="s">
        <v>301</v>
      </c>
      <c r="K43" s="12">
        <v>0</v>
      </c>
      <c r="L43" s="12">
        <v>0</v>
      </c>
      <c r="M43" s="16">
        <v>5</v>
      </c>
    </row>
    <row r="44" spans="1:13" ht="16.5" customHeight="1">
      <c r="A44" s="5">
        <v>3273</v>
      </c>
      <c r="B44" s="9" t="s">
        <v>45</v>
      </c>
      <c r="C44" s="9" t="s">
        <v>1</v>
      </c>
      <c r="D44" s="6">
        <v>45390</v>
      </c>
      <c r="E44" s="9" t="s">
        <v>301</v>
      </c>
      <c r="F44" s="13">
        <v>15</v>
      </c>
      <c r="G44" s="9" t="s">
        <v>298</v>
      </c>
      <c r="H44" s="9" t="s">
        <v>300</v>
      </c>
      <c r="I44" s="13">
        <v>30</v>
      </c>
      <c r="J44" s="9" t="s">
        <v>300</v>
      </c>
      <c r="K44" s="13">
        <v>20</v>
      </c>
      <c r="L44" s="13">
        <v>20</v>
      </c>
      <c r="M44" s="15">
        <v>45</v>
      </c>
    </row>
    <row r="45" spans="1:13" ht="16.5" customHeight="1">
      <c r="A45" s="1">
        <v>3274</v>
      </c>
      <c r="B45" s="10" t="s">
        <v>46</v>
      </c>
      <c r="C45" s="10" t="s">
        <v>5</v>
      </c>
      <c r="D45" s="2">
        <v>45391</v>
      </c>
      <c r="E45" s="9" t="s">
        <v>300</v>
      </c>
      <c r="F45" s="12">
        <v>10</v>
      </c>
      <c r="G45" s="10" t="s">
        <v>298</v>
      </c>
      <c r="H45" s="9" t="s">
        <v>301</v>
      </c>
      <c r="I45" s="12" t="s">
        <v>283</v>
      </c>
      <c r="J45" s="9" t="s">
        <v>300</v>
      </c>
      <c r="K45" s="12">
        <v>20</v>
      </c>
      <c r="L45" s="12">
        <v>12</v>
      </c>
      <c r="M45" s="16">
        <v>18</v>
      </c>
    </row>
    <row r="46" spans="1:13" ht="16.5" customHeight="1">
      <c r="A46" s="1">
        <v>3275</v>
      </c>
      <c r="B46" s="10" t="s">
        <v>47</v>
      </c>
      <c r="C46" s="10" t="s">
        <v>3</v>
      </c>
      <c r="D46" s="2">
        <v>45392</v>
      </c>
      <c r="E46" s="9" t="s">
        <v>301</v>
      </c>
      <c r="F46" s="12">
        <v>5</v>
      </c>
      <c r="G46" s="10" t="s">
        <v>297</v>
      </c>
      <c r="H46" s="9" t="s">
        <v>301</v>
      </c>
      <c r="I46" s="12" t="s">
        <v>283</v>
      </c>
      <c r="J46" s="9" t="s">
        <v>301</v>
      </c>
      <c r="K46" s="12">
        <v>0</v>
      </c>
      <c r="L46" s="12">
        <v>2</v>
      </c>
      <c r="M46" s="16">
        <v>3</v>
      </c>
    </row>
    <row r="47" spans="1:13" ht="16.5" customHeight="1">
      <c r="A47" s="5">
        <v>3276</v>
      </c>
      <c r="B47" s="9" t="s">
        <v>48</v>
      </c>
      <c r="C47" s="9" t="s">
        <v>1</v>
      </c>
      <c r="D47" s="6">
        <v>45393</v>
      </c>
      <c r="E47" s="9" t="s">
        <v>300</v>
      </c>
      <c r="F47" s="13">
        <v>15</v>
      </c>
      <c r="G47" s="9" t="s">
        <v>299</v>
      </c>
      <c r="H47" s="9" t="s">
        <v>300</v>
      </c>
      <c r="I47" s="13">
        <v>30</v>
      </c>
      <c r="J47" s="9" t="s">
        <v>300</v>
      </c>
      <c r="K47" s="13">
        <v>20</v>
      </c>
      <c r="L47" s="13">
        <v>5</v>
      </c>
      <c r="M47" s="15">
        <v>60</v>
      </c>
    </row>
    <row r="48" spans="1:13" ht="16.5" customHeight="1">
      <c r="A48" s="1">
        <v>3277</v>
      </c>
      <c r="B48" s="10" t="s">
        <v>49</v>
      </c>
      <c r="C48" s="10" t="s">
        <v>5</v>
      </c>
      <c r="D48" s="2">
        <v>45394</v>
      </c>
      <c r="E48" s="9" t="s">
        <v>301</v>
      </c>
      <c r="F48" s="12">
        <v>10</v>
      </c>
      <c r="G48" s="10" t="s">
        <v>297</v>
      </c>
      <c r="H48" s="9" t="s">
        <v>301</v>
      </c>
      <c r="I48" s="12" t="s">
        <v>283</v>
      </c>
      <c r="J48" s="9" t="s">
        <v>300</v>
      </c>
      <c r="K48" s="12">
        <v>20</v>
      </c>
      <c r="L48" s="12">
        <v>10</v>
      </c>
      <c r="M48" s="16">
        <v>20</v>
      </c>
    </row>
    <row r="49" spans="1:13" ht="16.5" customHeight="1">
      <c r="A49" s="1">
        <v>3278</v>
      </c>
      <c r="B49" s="10" t="s">
        <v>50</v>
      </c>
      <c r="C49" s="10" t="s">
        <v>3</v>
      </c>
      <c r="D49" s="2">
        <v>45395</v>
      </c>
      <c r="E49" s="9" t="s">
        <v>300</v>
      </c>
      <c r="F49" s="12">
        <v>5</v>
      </c>
      <c r="G49" s="10" t="s">
        <v>298</v>
      </c>
      <c r="H49" s="9" t="s">
        <v>301</v>
      </c>
      <c r="I49" s="12" t="s">
        <v>283</v>
      </c>
      <c r="J49" s="9" t="s">
        <v>301</v>
      </c>
      <c r="K49" s="12">
        <v>0</v>
      </c>
      <c r="L49" s="12">
        <v>0</v>
      </c>
      <c r="M49" s="16">
        <v>5</v>
      </c>
    </row>
    <row r="50" spans="1:13" ht="16.5" customHeight="1">
      <c r="A50" s="5">
        <v>3279</v>
      </c>
      <c r="B50" s="9" t="s">
        <v>51</v>
      </c>
      <c r="C50" s="9" t="s">
        <v>1</v>
      </c>
      <c r="D50" s="6">
        <v>45396</v>
      </c>
      <c r="E50" s="9" t="s">
        <v>301</v>
      </c>
      <c r="F50" s="13">
        <v>15</v>
      </c>
      <c r="G50" s="9" t="s">
        <v>297</v>
      </c>
      <c r="H50" s="9" t="s">
        <v>300</v>
      </c>
      <c r="I50" s="13">
        <v>30</v>
      </c>
      <c r="J50" s="9" t="s">
        <v>300</v>
      </c>
      <c r="K50" s="13">
        <v>20</v>
      </c>
      <c r="L50" s="13">
        <v>3</v>
      </c>
      <c r="M50" s="15">
        <v>62</v>
      </c>
    </row>
    <row r="51" spans="1:13" ht="16.5" customHeight="1">
      <c r="A51" s="1">
        <v>3280</v>
      </c>
      <c r="B51" s="10" t="s">
        <v>52</v>
      </c>
      <c r="C51" s="10" t="s">
        <v>5</v>
      </c>
      <c r="D51" s="2">
        <v>45397</v>
      </c>
      <c r="E51" s="9" t="s">
        <v>300</v>
      </c>
      <c r="F51" s="12">
        <v>10</v>
      </c>
      <c r="G51" s="10" t="s">
        <v>299</v>
      </c>
      <c r="H51" s="9" t="s">
        <v>301</v>
      </c>
      <c r="I51" s="12" t="s">
        <v>283</v>
      </c>
      <c r="J51" s="9" t="s">
        <v>300</v>
      </c>
      <c r="K51" s="12">
        <v>20</v>
      </c>
      <c r="L51" s="12">
        <v>15</v>
      </c>
      <c r="M51" s="16">
        <v>15</v>
      </c>
    </row>
    <row r="52" spans="1:13" ht="16.5" customHeight="1">
      <c r="A52" s="1">
        <v>3281</v>
      </c>
      <c r="B52" s="10" t="s">
        <v>53</v>
      </c>
      <c r="C52" s="10" t="s">
        <v>3</v>
      </c>
      <c r="D52" s="2">
        <v>45398</v>
      </c>
      <c r="E52" s="9" t="s">
        <v>301</v>
      </c>
      <c r="F52" s="12">
        <v>5</v>
      </c>
      <c r="G52" s="10" t="s">
        <v>297</v>
      </c>
      <c r="H52" s="9" t="s">
        <v>301</v>
      </c>
      <c r="I52" s="12" t="s">
        <v>283</v>
      </c>
      <c r="J52" s="9" t="s">
        <v>301</v>
      </c>
      <c r="K52" s="12">
        <v>0</v>
      </c>
      <c r="L52" s="12">
        <v>1</v>
      </c>
      <c r="M52" s="16">
        <v>4</v>
      </c>
    </row>
    <row r="53" spans="1:13" ht="16.5" customHeight="1">
      <c r="A53" s="5">
        <v>3282</v>
      </c>
      <c r="B53" s="9" t="s">
        <v>54</v>
      </c>
      <c r="C53" s="9" t="s">
        <v>1</v>
      </c>
      <c r="D53" s="6">
        <v>45399</v>
      </c>
      <c r="E53" s="9" t="s">
        <v>300</v>
      </c>
      <c r="F53" s="13">
        <v>15</v>
      </c>
      <c r="G53" s="9" t="s">
        <v>298</v>
      </c>
      <c r="H53" s="9" t="s">
        <v>300</v>
      </c>
      <c r="I53" s="13">
        <v>30</v>
      </c>
      <c r="J53" s="9" t="s">
        <v>300</v>
      </c>
      <c r="K53" s="13">
        <v>20</v>
      </c>
      <c r="L53" s="13">
        <v>7</v>
      </c>
      <c r="M53" s="15">
        <v>58</v>
      </c>
    </row>
    <row r="54" spans="1:13" ht="16.5" customHeight="1">
      <c r="A54" s="1">
        <v>3283</v>
      </c>
      <c r="B54" s="10" t="s">
        <v>55</v>
      </c>
      <c r="C54" s="10" t="s">
        <v>5</v>
      </c>
      <c r="D54" s="2">
        <v>45400</v>
      </c>
      <c r="E54" s="9" t="s">
        <v>301</v>
      </c>
      <c r="F54" s="12">
        <v>10</v>
      </c>
      <c r="G54" s="10" t="s">
        <v>297</v>
      </c>
      <c r="H54" s="9" t="s">
        <v>301</v>
      </c>
      <c r="I54" s="12" t="s">
        <v>283</v>
      </c>
      <c r="J54" s="9" t="s">
        <v>300</v>
      </c>
      <c r="K54" s="12">
        <v>20</v>
      </c>
      <c r="L54" s="12">
        <v>10</v>
      </c>
      <c r="M54" s="16">
        <v>20</v>
      </c>
    </row>
    <row r="55" spans="1:13" ht="16.5" customHeight="1">
      <c r="A55" s="1">
        <v>3284</v>
      </c>
      <c r="B55" s="10" t="s">
        <v>56</v>
      </c>
      <c r="C55" s="10" t="s">
        <v>3</v>
      </c>
      <c r="D55" s="2">
        <v>45401</v>
      </c>
      <c r="E55" s="9" t="s">
        <v>300</v>
      </c>
      <c r="F55" s="12">
        <v>5</v>
      </c>
      <c r="G55" s="10" t="s">
        <v>299</v>
      </c>
      <c r="H55" s="9" t="s">
        <v>301</v>
      </c>
      <c r="I55" s="12" t="s">
        <v>283</v>
      </c>
      <c r="J55" s="9" t="s">
        <v>301</v>
      </c>
      <c r="K55" s="12">
        <v>0</v>
      </c>
      <c r="L55" s="12">
        <v>0</v>
      </c>
      <c r="M55" s="16">
        <v>5</v>
      </c>
    </row>
    <row r="56" spans="1:13" ht="16.5" customHeight="1">
      <c r="A56" s="5">
        <v>3285</v>
      </c>
      <c r="B56" s="9" t="s">
        <v>57</v>
      </c>
      <c r="C56" s="9" t="s">
        <v>1</v>
      </c>
      <c r="D56" s="6">
        <v>45402</v>
      </c>
      <c r="E56" s="9" t="s">
        <v>301</v>
      </c>
      <c r="F56" s="13">
        <v>15</v>
      </c>
      <c r="G56" s="9" t="s">
        <v>297</v>
      </c>
      <c r="H56" s="9" t="s">
        <v>300</v>
      </c>
      <c r="I56" s="13">
        <v>30</v>
      </c>
      <c r="J56" s="9" t="s">
        <v>300</v>
      </c>
      <c r="K56" s="13">
        <v>20</v>
      </c>
      <c r="L56" s="13">
        <v>20</v>
      </c>
      <c r="M56" s="15">
        <v>45</v>
      </c>
    </row>
    <row r="57" spans="1:13" ht="16.5" customHeight="1">
      <c r="A57" s="1">
        <v>3286</v>
      </c>
      <c r="B57" s="10" t="s">
        <v>58</v>
      </c>
      <c r="C57" s="10" t="s">
        <v>5</v>
      </c>
      <c r="D57" s="2">
        <v>45403</v>
      </c>
      <c r="E57" s="9" t="s">
        <v>300</v>
      </c>
      <c r="F57" s="12">
        <v>10</v>
      </c>
      <c r="G57" s="10" t="s">
        <v>298</v>
      </c>
      <c r="H57" s="9" t="s">
        <v>301</v>
      </c>
      <c r="I57" s="12" t="s">
        <v>283</v>
      </c>
      <c r="J57" s="9" t="s">
        <v>300</v>
      </c>
      <c r="K57" s="12">
        <v>20</v>
      </c>
      <c r="L57" s="12">
        <v>15</v>
      </c>
      <c r="M57" s="16">
        <v>15</v>
      </c>
    </row>
    <row r="58" spans="1:13" ht="16.5" customHeight="1">
      <c r="A58" s="1">
        <v>3287</v>
      </c>
      <c r="B58" s="10" t="s">
        <v>59</v>
      </c>
      <c r="C58" s="10" t="s">
        <v>3</v>
      </c>
      <c r="D58" s="2">
        <v>45404</v>
      </c>
      <c r="E58" s="9" t="s">
        <v>301</v>
      </c>
      <c r="F58" s="12">
        <v>5</v>
      </c>
      <c r="G58" s="10" t="s">
        <v>297</v>
      </c>
      <c r="H58" s="9" t="s">
        <v>301</v>
      </c>
      <c r="I58" s="12" t="s">
        <v>283</v>
      </c>
      <c r="J58" s="9" t="s">
        <v>301</v>
      </c>
      <c r="K58" s="12">
        <v>0</v>
      </c>
      <c r="L58" s="12">
        <v>1</v>
      </c>
      <c r="M58" s="16">
        <v>4</v>
      </c>
    </row>
    <row r="59" spans="1:13" ht="16.5" customHeight="1">
      <c r="A59" s="5">
        <v>3288</v>
      </c>
      <c r="B59" s="9" t="s">
        <v>60</v>
      </c>
      <c r="C59" s="9" t="s">
        <v>1</v>
      </c>
      <c r="D59" s="6">
        <v>45405</v>
      </c>
      <c r="E59" s="9" t="s">
        <v>300</v>
      </c>
      <c r="F59" s="13">
        <v>15</v>
      </c>
      <c r="G59" s="9" t="s">
        <v>299</v>
      </c>
      <c r="H59" s="9" t="s">
        <v>300</v>
      </c>
      <c r="I59" s="13">
        <v>30</v>
      </c>
      <c r="J59" s="9" t="s">
        <v>300</v>
      </c>
      <c r="K59" s="13">
        <v>20</v>
      </c>
      <c r="L59" s="13">
        <v>3</v>
      </c>
      <c r="M59" s="15">
        <v>62</v>
      </c>
    </row>
    <row r="60" spans="1:13" ht="16.5" customHeight="1">
      <c r="A60" s="1">
        <v>3289</v>
      </c>
      <c r="B60" s="10" t="s">
        <v>61</v>
      </c>
      <c r="C60" s="10" t="s">
        <v>5</v>
      </c>
      <c r="D60" s="2">
        <v>45406</v>
      </c>
      <c r="E60" s="9" t="s">
        <v>301</v>
      </c>
      <c r="F60" s="12">
        <v>10</v>
      </c>
      <c r="G60" s="10" t="s">
        <v>297</v>
      </c>
      <c r="H60" s="9" t="s">
        <v>301</v>
      </c>
      <c r="I60" s="12" t="s">
        <v>283</v>
      </c>
      <c r="J60" s="9" t="s">
        <v>300</v>
      </c>
      <c r="K60" s="12">
        <v>20</v>
      </c>
      <c r="L60" s="12">
        <v>10</v>
      </c>
      <c r="M60" s="16">
        <v>20</v>
      </c>
    </row>
    <row r="61" spans="1:13" ht="16.5" customHeight="1">
      <c r="A61" s="1">
        <v>3290</v>
      </c>
      <c r="B61" s="10" t="s">
        <v>62</v>
      </c>
      <c r="C61" s="10" t="s">
        <v>3</v>
      </c>
      <c r="D61" s="2">
        <v>45407</v>
      </c>
      <c r="E61" s="9" t="s">
        <v>300</v>
      </c>
      <c r="F61" s="12">
        <v>5</v>
      </c>
      <c r="G61" s="10" t="s">
        <v>298</v>
      </c>
      <c r="H61" s="9" t="s">
        <v>301</v>
      </c>
      <c r="I61" s="12" t="s">
        <v>283</v>
      </c>
      <c r="J61" s="9" t="s">
        <v>301</v>
      </c>
      <c r="K61" s="12">
        <v>0</v>
      </c>
      <c r="L61" s="12">
        <v>0</v>
      </c>
      <c r="M61" s="16">
        <v>5</v>
      </c>
    </row>
    <row r="62" spans="1:13" ht="16.5" customHeight="1">
      <c r="A62" s="5">
        <v>3291</v>
      </c>
      <c r="B62" s="9" t="s">
        <v>63</v>
      </c>
      <c r="C62" s="9" t="s">
        <v>1</v>
      </c>
      <c r="D62" s="6">
        <v>45408</v>
      </c>
      <c r="E62" s="9" t="s">
        <v>301</v>
      </c>
      <c r="F62" s="13">
        <v>15</v>
      </c>
      <c r="G62" s="9" t="s">
        <v>297</v>
      </c>
      <c r="H62" s="9" t="s">
        <v>300</v>
      </c>
      <c r="I62" s="13">
        <v>30</v>
      </c>
      <c r="J62" s="9" t="s">
        <v>300</v>
      </c>
      <c r="K62" s="13">
        <v>20</v>
      </c>
      <c r="L62" s="13">
        <v>5</v>
      </c>
      <c r="M62" s="15">
        <v>60</v>
      </c>
    </row>
    <row r="63" spans="1:13" ht="16.5" customHeight="1">
      <c r="A63" s="1">
        <v>3292</v>
      </c>
      <c r="B63" s="10" t="s">
        <v>64</v>
      </c>
      <c r="C63" s="10" t="s">
        <v>5</v>
      </c>
      <c r="D63" s="2">
        <v>45409</v>
      </c>
      <c r="E63" s="9" t="s">
        <v>300</v>
      </c>
      <c r="F63" s="12">
        <v>10</v>
      </c>
      <c r="G63" s="10" t="s">
        <v>299</v>
      </c>
      <c r="H63" s="9" t="s">
        <v>301</v>
      </c>
      <c r="I63" s="12" t="s">
        <v>283</v>
      </c>
      <c r="J63" s="9" t="s">
        <v>300</v>
      </c>
      <c r="K63" s="12">
        <v>20</v>
      </c>
      <c r="L63" s="12">
        <v>15</v>
      </c>
      <c r="M63" s="16">
        <v>15</v>
      </c>
    </row>
    <row r="64" spans="1:13" ht="16.5" customHeight="1">
      <c r="A64" s="1">
        <v>3293</v>
      </c>
      <c r="B64" s="10" t="s">
        <v>65</v>
      </c>
      <c r="C64" s="10" t="s">
        <v>3</v>
      </c>
      <c r="D64" s="2">
        <v>45410</v>
      </c>
      <c r="E64" s="9" t="s">
        <v>301</v>
      </c>
      <c r="F64" s="12">
        <v>5</v>
      </c>
      <c r="G64" s="10" t="s">
        <v>297</v>
      </c>
      <c r="H64" s="9" t="s">
        <v>301</v>
      </c>
      <c r="I64" s="12" t="s">
        <v>283</v>
      </c>
      <c r="J64" s="9" t="s">
        <v>301</v>
      </c>
      <c r="K64" s="12">
        <v>0</v>
      </c>
      <c r="L64" s="12">
        <v>1</v>
      </c>
      <c r="M64" s="16">
        <v>4</v>
      </c>
    </row>
    <row r="65" spans="1:13" ht="16.5" customHeight="1">
      <c r="A65" s="5">
        <v>3294</v>
      </c>
      <c r="B65" s="9" t="s">
        <v>66</v>
      </c>
      <c r="C65" s="9" t="s">
        <v>1</v>
      </c>
      <c r="D65" s="6">
        <v>45411</v>
      </c>
      <c r="E65" s="9" t="s">
        <v>300</v>
      </c>
      <c r="F65" s="13">
        <v>15</v>
      </c>
      <c r="G65" s="9" t="s">
        <v>298</v>
      </c>
      <c r="H65" s="9" t="s">
        <v>300</v>
      </c>
      <c r="I65" s="13">
        <v>30</v>
      </c>
      <c r="J65" s="9" t="s">
        <v>300</v>
      </c>
      <c r="K65" s="13">
        <v>20</v>
      </c>
      <c r="L65" s="13">
        <v>20</v>
      </c>
      <c r="M65" s="15">
        <v>45</v>
      </c>
    </row>
    <row r="66" spans="1:13" ht="16.5" customHeight="1">
      <c r="A66" s="1">
        <v>3295</v>
      </c>
      <c r="B66" s="10" t="s">
        <v>67</v>
      </c>
      <c r="C66" s="10" t="s">
        <v>5</v>
      </c>
      <c r="D66" s="2">
        <v>45412</v>
      </c>
      <c r="E66" s="9" t="s">
        <v>301</v>
      </c>
      <c r="F66" s="12">
        <v>10</v>
      </c>
      <c r="G66" s="10" t="s">
        <v>297</v>
      </c>
      <c r="H66" s="9" t="s">
        <v>301</v>
      </c>
      <c r="I66" s="12" t="s">
        <v>283</v>
      </c>
      <c r="J66" s="9" t="s">
        <v>300</v>
      </c>
      <c r="K66" s="12">
        <v>20</v>
      </c>
      <c r="L66" s="12">
        <v>5</v>
      </c>
      <c r="M66" s="16">
        <v>25</v>
      </c>
    </row>
    <row r="67" spans="1:13" ht="16.5" customHeight="1">
      <c r="A67" s="1">
        <v>3296</v>
      </c>
      <c r="B67" s="10" t="s">
        <v>68</v>
      </c>
      <c r="C67" s="10" t="s">
        <v>3</v>
      </c>
      <c r="D67" s="2">
        <v>45413</v>
      </c>
      <c r="E67" s="9" t="s">
        <v>301</v>
      </c>
      <c r="F67" s="12">
        <v>5</v>
      </c>
      <c r="G67" s="10" t="s">
        <v>297</v>
      </c>
      <c r="H67" s="9" t="s">
        <v>301</v>
      </c>
      <c r="I67" s="12" t="s">
        <v>283</v>
      </c>
      <c r="J67" s="9" t="s">
        <v>301</v>
      </c>
      <c r="K67" s="12">
        <v>0</v>
      </c>
      <c r="L67" s="12">
        <v>0</v>
      </c>
      <c r="M67" s="16">
        <v>5</v>
      </c>
    </row>
    <row r="68" spans="1:13" ht="16.5" customHeight="1">
      <c r="A68" s="5">
        <v>3297</v>
      </c>
      <c r="B68" s="9" t="s">
        <v>69</v>
      </c>
      <c r="C68" s="9" t="s">
        <v>1</v>
      </c>
      <c r="D68" s="6">
        <v>45414</v>
      </c>
      <c r="E68" s="9" t="s">
        <v>300</v>
      </c>
      <c r="F68" s="13">
        <v>15</v>
      </c>
      <c r="G68" s="9" t="s">
        <v>298</v>
      </c>
      <c r="H68" s="9" t="s">
        <v>300</v>
      </c>
      <c r="I68" s="13">
        <v>30</v>
      </c>
      <c r="J68" s="9" t="s">
        <v>300</v>
      </c>
      <c r="K68" s="13">
        <v>20</v>
      </c>
      <c r="L68" s="13">
        <v>7</v>
      </c>
      <c r="M68" s="15">
        <v>58</v>
      </c>
    </row>
    <row r="69" spans="1:13" ht="16.5" customHeight="1">
      <c r="A69" s="1">
        <v>3298</v>
      </c>
      <c r="B69" s="10" t="s">
        <v>70</v>
      </c>
      <c r="C69" s="10" t="s">
        <v>5</v>
      </c>
      <c r="D69" s="2">
        <v>45415</v>
      </c>
      <c r="E69" s="9" t="s">
        <v>301</v>
      </c>
      <c r="F69" s="12">
        <v>10</v>
      </c>
      <c r="G69" s="10" t="s">
        <v>299</v>
      </c>
      <c r="H69" s="9" t="s">
        <v>301</v>
      </c>
      <c r="I69" s="12" t="s">
        <v>283</v>
      </c>
      <c r="J69" s="9" t="s">
        <v>300</v>
      </c>
      <c r="K69" s="12">
        <v>20</v>
      </c>
      <c r="L69" s="12">
        <v>10</v>
      </c>
      <c r="M69" s="16">
        <v>20</v>
      </c>
    </row>
    <row r="70" spans="1:13" ht="16.5" customHeight="1">
      <c r="A70" s="1">
        <v>3299</v>
      </c>
      <c r="B70" s="10" t="s">
        <v>71</v>
      </c>
      <c r="C70" s="10" t="s">
        <v>3</v>
      </c>
      <c r="D70" s="2">
        <v>45416</v>
      </c>
      <c r="E70" s="9" t="s">
        <v>300</v>
      </c>
      <c r="F70" s="12">
        <v>5</v>
      </c>
      <c r="G70" s="10" t="s">
        <v>298</v>
      </c>
      <c r="H70" s="9" t="s">
        <v>301</v>
      </c>
      <c r="I70" s="12" t="s">
        <v>283</v>
      </c>
      <c r="J70" s="9" t="s">
        <v>301</v>
      </c>
      <c r="K70" s="12">
        <v>0</v>
      </c>
      <c r="L70" s="12">
        <v>1</v>
      </c>
      <c r="M70" s="16">
        <v>4</v>
      </c>
    </row>
    <row r="71" spans="1:13" ht="16.5" customHeight="1">
      <c r="A71" s="5">
        <v>3300</v>
      </c>
      <c r="B71" s="9" t="s">
        <v>72</v>
      </c>
      <c r="C71" s="9" t="s">
        <v>1</v>
      </c>
      <c r="D71" s="6">
        <v>45417</v>
      </c>
      <c r="E71" s="9" t="s">
        <v>301</v>
      </c>
      <c r="F71" s="13">
        <v>15</v>
      </c>
      <c r="G71" s="9" t="s">
        <v>297</v>
      </c>
      <c r="H71" s="9" t="s">
        <v>300</v>
      </c>
      <c r="I71" s="13">
        <v>30</v>
      </c>
      <c r="J71" s="9" t="s">
        <v>300</v>
      </c>
      <c r="K71" s="13">
        <v>20</v>
      </c>
      <c r="L71" s="13">
        <v>15</v>
      </c>
      <c r="M71" s="15">
        <v>50</v>
      </c>
    </row>
    <row r="72" spans="1:13" ht="16.5" customHeight="1">
      <c r="A72" s="1">
        <v>3301</v>
      </c>
      <c r="B72" s="10" t="s">
        <v>73</v>
      </c>
      <c r="C72" s="10" t="s">
        <v>5</v>
      </c>
      <c r="D72" s="2">
        <v>45418</v>
      </c>
      <c r="E72" s="9" t="s">
        <v>300</v>
      </c>
      <c r="F72" s="12">
        <v>10</v>
      </c>
      <c r="G72" s="10" t="s">
        <v>297</v>
      </c>
      <c r="H72" s="9" t="s">
        <v>301</v>
      </c>
      <c r="I72" s="12" t="s">
        <v>283</v>
      </c>
      <c r="J72" s="9" t="s">
        <v>300</v>
      </c>
      <c r="K72" s="12">
        <v>20</v>
      </c>
      <c r="L72" s="12">
        <v>5</v>
      </c>
      <c r="M72" s="16">
        <v>25</v>
      </c>
    </row>
    <row r="73" spans="1:13" ht="16.5" customHeight="1">
      <c r="A73" s="1">
        <v>3302</v>
      </c>
      <c r="B73" s="10" t="s">
        <v>74</v>
      </c>
      <c r="C73" s="10" t="s">
        <v>3</v>
      </c>
      <c r="D73" s="2">
        <v>45419</v>
      </c>
      <c r="E73" s="9" t="s">
        <v>301</v>
      </c>
      <c r="F73" s="12">
        <v>5</v>
      </c>
      <c r="G73" s="10" t="s">
        <v>299</v>
      </c>
      <c r="H73" s="9" t="s">
        <v>301</v>
      </c>
      <c r="I73" s="12" t="s">
        <v>283</v>
      </c>
      <c r="J73" s="9" t="s">
        <v>301</v>
      </c>
      <c r="K73" s="12">
        <v>0</v>
      </c>
      <c r="L73" s="12">
        <v>0</v>
      </c>
      <c r="M73" s="16">
        <v>5</v>
      </c>
    </row>
    <row r="74" spans="1:13" ht="16.5" customHeight="1">
      <c r="A74" s="5">
        <v>3303</v>
      </c>
      <c r="B74" s="9" t="s">
        <v>75</v>
      </c>
      <c r="C74" s="9" t="s">
        <v>1</v>
      </c>
      <c r="D74" s="6">
        <v>45420</v>
      </c>
      <c r="E74" s="9" t="s">
        <v>300</v>
      </c>
      <c r="F74" s="13">
        <v>15</v>
      </c>
      <c r="G74" s="9" t="s">
        <v>298</v>
      </c>
      <c r="H74" s="9" t="s">
        <v>300</v>
      </c>
      <c r="I74" s="13">
        <v>30</v>
      </c>
      <c r="J74" s="9" t="s">
        <v>300</v>
      </c>
      <c r="K74" s="13">
        <v>20</v>
      </c>
      <c r="L74" s="13">
        <v>20</v>
      </c>
      <c r="M74" s="15">
        <v>45</v>
      </c>
    </row>
    <row r="75" spans="1:13" ht="16.5" customHeight="1">
      <c r="A75" s="1">
        <v>3304</v>
      </c>
      <c r="B75" s="10" t="s">
        <v>76</v>
      </c>
      <c r="C75" s="10" t="s">
        <v>5</v>
      </c>
      <c r="D75" s="2">
        <v>45421</v>
      </c>
      <c r="E75" s="9" t="s">
        <v>301</v>
      </c>
      <c r="F75" s="12">
        <v>10</v>
      </c>
      <c r="G75" s="10" t="s">
        <v>298</v>
      </c>
      <c r="H75" s="9" t="s">
        <v>301</v>
      </c>
      <c r="I75" s="12" t="s">
        <v>283</v>
      </c>
      <c r="J75" s="9" t="s">
        <v>300</v>
      </c>
      <c r="K75" s="12">
        <v>20</v>
      </c>
      <c r="L75" s="12">
        <v>12</v>
      </c>
      <c r="M75" s="16">
        <v>18</v>
      </c>
    </row>
    <row r="76" spans="1:13" ht="16.5" customHeight="1">
      <c r="A76" s="1">
        <v>3305</v>
      </c>
      <c r="B76" s="10" t="s">
        <v>77</v>
      </c>
      <c r="C76" s="10" t="s">
        <v>3</v>
      </c>
      <c r="D76" s="2">
        <v>45422</v>
      </c>
      <c r="E76" s="9" t="s">
        <v>300</v>
      </c>
      <c r="F76" s="12">
        <v>5</v>
      </c>
      <c r="G76" s="10" t="s">
        <v>297</v>
      </c>
      <c r="H76" s="9" t="s">
        <v>301</v>
      </c>
      <c r="I76" s="12" t="s">
        <v>283</v>
      </c>
      <c r="J76" s="9" t="s">
        <v>301</v>
      </c>
      <c r="K76" s="12">
        <v>0</v>
      </c>
      <c r="L76" s="12">
        <v>2</v>
      </c>
      <c r="M76" s="16">
        <v>3</v>
      </c>
    </row>
    <row r="77" spans="1:13" ht="16.5" customHeight="1">
      <c r="A77" s="5">
        <v>3306</v>
      </c>
      <c r="B77" s="9" t="s">
        <v>78</v>
      </c>
      <c r="C77" s="9" t="s">
        <v>1</v>
      </c>
      <c r="D77" s="6">
        <v>45423</v>
      </c>
      <c r="E77" s="9" t="s">
        <v>301</v>
      </c>
      <c r="F77" s="13">
        <v>15</v>
      </c>
      <c r="G77" s="9" t="s">
        <v>299</v>
      </c>
      <c r="H77" s="9" t="s">
        <v>300</v>
      </c>
      <c r="I77" s="13">
        <v>30</v>
      </c>
      <c r="J77" s="9" t="s">
        <v>300</v>
      </c>
      <c r="K77" s="13">
        <v>20</v>
      </c>
      <c r="L77" s="13">
        <v>5</v>
      </c>
      <c r="M77" s="15">
        <v>60</v>
      </c>
    </row>
    <row r="78" spans="1:13" ht="16.5" customHeight="1">
      <c r="A78" s="1">
        <v>3307</v>
      </c>
      <c r="B78" s="10" t="s">
        <v>79</v>
      </c>
      <c r="C78" s="10" t="s">
        <v>5</v>
      </c>
      <c r="D78" s="2">
        <v>45424</v>
      </c>
      <c r="E78" s="9" t="s">
        <v>300</v>
      </c>
      <c r="F78" s="12">
        <v>10</v>
      </c>
      <c r="G78" s="10" t="s">
        <v>297</v>
      </c>
      <c r="H78" s="9" t="s">
        <v>301</v>
      </c>
      <c r="I78" s="12" t="s">
        <v>283</v>
      </c>
      <c r="J78" s="9" t="s">
        <v>300</v>
      </c>
      <c r="K78" s="12">
        <v>20</v>
      </c>
      <c r="L78" s="12">
        <v>10</v>
      </c>
      <c r="M78" s="16">
        <v>20</v>
      </c>
    </row>
    <row r="79" spans="1:13" ht="16.5" customHeight="1">
      <c r="A79" s="1">
        <v>3308</v>
      </c>
      <c r="B79" s="10" t="s">
        <v>80</v>
      </c>
      <c r="C79" s="10" t="s">
        <v>3</v>
      </c>
      <c r="D79" s="2">
        <v>45425</v>
      </c>
      <c r="E79" s="9" t="s">
        <v>301</v>
      </c>
      <c r="F79" s="12">
        <v>5</v>
      </c>
      <c r="G79" s="10" t="s">
        <v>298</v>
      </c>
      <c r="H79" s="9" t="s">
        <v>301</v>
      </c>
      <c r="I79" s="12" t="s">
        <v>283</v>
      </c>
      <c r="J79" s="9" t="s">
        <v>301</v>
      </c>
      <c r="K79" s="12">
        <v>0</v>
      </c>
      <c r="L79" s="12">
        <v>0</v>
      </c>
      <c r="M79" s="16">
        <v>5</v>
      </c>
    </row>
    <row r="80" spans="1:13" ht="16.5" customHeight="1">
      <c r="A80" s="5">
        <v>3309</v>
      </c>
      <c r="B80" s="9" t="s">
        <v>81</v>
      </c>
      <c r="C80" s="9" t="s">
        <v>1</v>
      </c>
      <c r="D80" s="6">
        <v>45426</v>
      </c>
      <c r="E80" s="9" t="s">
        <v>300</v>
      </c>
      <c r="F80" s="13">
        <v>15</v>
      </c>
      <c r="G80" s="9" t="s">
        <v>297</v>
      </c>
      <c r="H80" s="9" t="s">
        <v>300</v>
      </c>
      <c r="I80" s="13">
        <v>30</v>
      </c>
      <c r="J80" s="9" t="s">
        <v>300</v>
      </c>
      <c r="K80" s="13">
        <v>20</v>
      </c>
      <c r="L80" s="13">
        <v>3</v>
      </c>
      <c r="M80" s="15">
        <v>62</v>
      </c>
    </row>
    <row r="81" spans="1:13" ht="16.5" customHeight="1">
      <c r="A81" s="1">
        <v>3310</v>
      </c>
      <c r="B81" s="10" t="s">
        <v>82</v>
      </c>
      <c r="C81" s="10" t="s">
        <v>5</v>
      </c>
      <c r="D81" s="2">
        <v>45427</v>
      </c>
      <c r="E81" s="9" t="s">
        <v>301</v>
      </c>
      <c r="F81" s="12">
        <v>10</v>
      </c>
      <c r="G81" s="10" t="s">
        <v>299</v>
      </c>
      <c r="H81" s="9" t="s">
        <v>301</v>
      </c>
      <c r="I81" s="12" t="s">
        <v>283</v>
      </c>
      <c r="J81" s="9" t="s">
        <v>300</v>
      </c>
      <c r="K81" s="12">
        <v>20</v>
      </c>
      <c r="L81" s="12">
        <v>15</v>
      </c>
      <c r="M81" s="16">
        <v>15</v>
      </c>
    </row>
    <row r="82" spans="1:13" ht="16.5" customHeight="1">
      <c r="A82" s="1">
        <v>3311</v>
      </c>
      <c r="B82" s="10" t="s">
        <v>83</v>
      </c>
      <c r="C82" s="10" t="s">
        <v>3</v>
      </c>
      <c r="D82" s="2">
        <v>45428</v>
      </c>
      <c r="E82" s="9" t="s">
        <v>300</v>
      </c>
      <c r="F82" s="12">
        <v>5</v>
      </c>
      <c r="G82" s="10" t="s">
        <v>297</v>
      </c>
      <c r="H82" s="9" t="s">
        <v>301</v>
      </c>
      <c r="I82" s="12" t="s">
        <v>283</v>
      </c>
      <c r="J82" s="9" t="s">
        <v>301</v>
      </c>
      <c r="K82" s="12">
        <v>0</v>
      </c>
      <c r="L82" s="12">
        <v>1</v>
      </c>
      <c r="M82" s="16">
        <v>4</v>
      </c>
    </row>
    <row r="83" spans="1:13" ht="16.5" customHeight="1">
      <c r="A83" s="5">
        <v>3312</v>
      </c>
      <c r="B83" s="9" t="s">
        <v>84</v>
      </c>
      <c r="C83" s="9" t="s">
        <v>1</v>
      </c>
      <c r="D83" s="6">
        <v>45429</v>
      </c>
      <c r="E83" s="9" t="s">
        <v>301</v>
      </c>
      <c r="F83" s="13">
        <v>15</v>
      </c>
      <c r="G83" s="9" t="s">
        <v>298</v>
      </c>
      <c r="H83" s="9" t="s">
        <v>300</v>
      </c>
      <c r="I83" s="13">
        <v>30</v>
      </c>
      <c r="J83" s="9" t="s">
        <v>300</v>
      </c>
      <c r="K83" s="13">
        <v>20</v>
      </c>
      <c r="L83" s="13">
        <v>7</v>
      </c>
      <c r="M83" s="15">
        <v>58</v>
      </c>
    </row>
    <row r="84" spans="1:13" ht="16.5" customHeight="1">
      <c r="A84" s="1">
        <v>3313</v>
      </c>
      <c r="B84" s="10" t="s">
        <v>85</v>
      </c>
      <c r="C84" s="10" t="s">
        <v>5</v>
      </c>
      <c r="D84" s="2">
        <v>45430</v>
      </c>
      <c r="E84" s="9" t="s">
        <v>300</v>
      </c>
      <c r="F84" s="12">
        <v>10</v>
      </c>
      <c r="G84" s="10" t="s">
        <v>297</v>
      </c>
      <c r="H84" s="9" t="s">
        <v>301</v>
      </c>
      <c r="I84" s="12" t="s">
        <v>283</v>
      </c>
      <c r="J84" s="9" t="s">
        <v>300</v>
      </c>
      <c r="K84" s="12">
        <v>20</v>
      </c>
      <c r="L84" s="12">
        <v>10</v>
      </c>
      <c r="M84" s="16">
        <v>20</v>
      </c>
    </row>
    <row r="85" spans="1:13" ht="16.5" customHeight="1">
      <c r="A85" s="1">
        <v>3314</v>
      </c>
      <c r="B85" s="10" t="s">
        <v>86</v>
      </c>
      <c r="C85" s="10" t="s">
        <v>3</v>
      </c>
      <c r="D85" s="2">
        <v>45431</v>
      </c>
      <c r="E85" s="9" t="s">
        <v>301</v>
      </c>
      <c r="F85" s="12">
        <v>5</v>
      </c>
      <c r="G85" s="10" t="s">
        <v>299</v>
      </c>
      <c r="H85" s="9" t="s">
        <v>301</v>
      </c>
      <c r="I85" s="12" t="s">
        <v>283</v>
      </c>
      <c r="J85" s="9" t="s">
        <v>301</v>
      </c>
      <c r="K85" s="12">
        <v>0</v>
      </c>
      <c r="L85" s="12">
        <v>0</v>
      </c>
      <c r="M85" s="16">
        <v>5</v>
      </c>
    </row>
    <row r="86" spans="1:13" ht="16.5" customHeight="1">
      <c r="A86" s="5">
        <v>3315</v>
      </c>
      <c r="B86" s="9" t="s">
        <v>87</v>
      </c>
      <c r="C86" s="9" t="s">
        <v>1</v>
      </c>
      <c r="D86" s="6">
        <v>45432</v>
      </c>
      <c r="E86" s="9" t="s">
        <v>300</v>
      </c>
      <c r="F86" s="13">
        <v>15</v>
      </c>
      <c r="G86" s="9" t="s">
        <v>297</v>
      </c>
      <c r="H86" s="9" t="s">
        <v>300</v>
      </c>
      <c r="I86" s="13">
        <v>30</v>
      </c>
      <c r="J86" s="9" t="s">
        <v>300</v>
      </c>
      <c r="K86" s="13">
        <v>20</v>
      </c>
      <c r="L86" s="13">
        <v>20</v>
      </c>
      <c r="M86" s="15">
        <v>45</v>
      </c>
    </row>
    <row r="87" spans="1:13" ht="16.5" customHeight="1">
      <c r="A87" s="1">
        <v>3316</v>
      </c>
      <c r="B87" s="10" t="s">
        <v>88</v>
      </c>
      <c r="C87" s="10" t="s">
        <v>5</v>
      </c>
      <c r="D87" s="2">
        <v>45433</v>
      </c>
      <c r="E87" s="9" t="s">
        <v>301</v>
      </c>
      <c r="F87" s="12">
        <v>10</v>
      </c>
      <c r="G87" s="10" t="s">
        <v>298</v>
      </c>
      <c r="H87" s="9" t="s">
        <v>301</v>
      </c>
      <c r="I87" s="12" t="s">
        <v>283</v>
      </c>
      <c r="J87" s="9" t="s">
        <v>300</v>
      </c>
      <c r="K87" s="12">
        <v>20</v>
      </c>
      <c r="L87" s="12">
        <v>15</v>
      </c>
      <c r="M87" s="16">
        <v>15</v>
      </c>
    </row>
    <row r="88" spans="1:13" ht="16.5" customHeight="1">
      <c r="A88" s="1">
        <v>3317</v>
      </c>
      <c r="B88" s="10" t="s">
        <v>89</v>
      </c>
      <c r="C88" s="10" t="s">
        <v>3</v>
      </c>
      <c r="D88" s="2">
        <v>45434</v>
      </c>
      <c r="E88" s="9" t="s">
        <v>300</v>
      </c>
      <c r="F88" s="12">
        <v>5</v>
      </c>
      <c r="G88" s="10" t="s">
        <v>297</v>
      </c>
      <c r="H88" s="9" t="s">
        <v>301</v>
      </c>
      <c r="I88" s="12" t="s">
        <v>283</v>
      </c>
      <c r="J88" s="9" t="s">
        <v>301</v>
      </c>
      <c r="K88" s="12">
        <v>0</v>
      </c>
      <c r="L88" s="12">
        <v>1</v>
      </c>
      <c r="M88" s="16">
        <v>4</v>
      </c>
    </row>
    <row r="89" spans="1:13" ht="16.5" customHeight="1">
      <c r="A89" s="5">
        <v>3318</v>
      </c>
      <c r="B89" s="9" t="s">
        <v>90</v>
      </c>
      <c r="C89" s="9" t="s">
        <v>1</v>
      </c>
      <c r="D89" s="6">
        <v>45435</v>
      </c>
      <c r="E89" s="9" t="s">
        <v>301</v>
      </c>
      <c r="F89" s="13">
        <v>15</v>
      </c>
      <c r="G89" s="9" t="s">
        <v>299</v>
      </c>
      <c r="H89" s="9" t="s">
        <v>300</v>
      </c>
      <c r="I89" s="13">
        <v>30</v>
      </c>
      <c r="J89" s="9" t="s">
        <v>300</v>
      </c>
      <c r="K89" s="13">
        <v>20</v>
      </c>
      <c r="L89" s="13">
        <v>3</v>
      </c>
      <c r="M89" s="15">
        <v>62</v>
      </c>
    </row>
    <row r="90" spans="1:13" ht="16.5" customHeight="1">
      <c r="A90" s="1">
        <v>3319</v>
      </c>
      <c r="B90" s="10" t="s">
        <v>91</v>
      </c>
      <c r="C90" s="10" t="s">
        <v>5</v>
      </c>
      <c r="D90" s="2">
        <v>45436</v>
      </c>
      <c r="E90" s="9" t="s">
        <v>300</v>
      </c>
      <c r="F90" s="12">
        <v>10</v>
      </c>
      <c r="G90" s="10" t="s">
        <v>297</v>
      </c>
      <c r="H90" s="9" t="s">
        <v>301</v>
      </c>
      <c r="I90" s="12" t="s">
        <v>283</v>
      </c>
      <c r="J90" s="9" t="s">
        <v>300</v>
      </c>
      <c r="K90" s="12">
        <v>20</v>
      </c>
      <c r="L90" s="12">
        <v>10</v>
      </c>
      <c r="M90" s="16">
        <v>20</v>
      </c>
    </row>
    <row r="91" spans="1:13" ht="16.5" customHeight="1">
      <c r="A91" s="1">
        <v>3320</v>
      </c>
      <c r="B91" s="10" t="s">
        <v>92</v>
      </c>
      <c r="C91" s="10" t="s">
        <v>3</v>
      </c>
      <c r="D91" s="2">
        <v>45437</v>
      </c>
      <c r="E91" s="9" t="s">
        <v>301</v>
      </c>
      <c r="F91" s="12">
        <v>5</v>
      </c>
      <c r="G91" s="10" t="s">
        <v>298</v>
      </c>
      <c r="H91" s="9" t="s">
        <v>301</v>
      </c>
      <c r="I91" s="12" t="s">
        <v>283</v>
      </c>
      <c r="J91" s="9" t="s">
        <v>301</v>
      </c>
      <c r="K91" s="12">
        <v>0</v>
      </c>
      <c r="L91" s="12">
        <v>0</v>
      </c>
      <c r="M91" s="16">
        <v>5</v>
      </c>
    </row>
    <row r="92" spans="1:13" ht="16.5" customHeight="1">
      <c r="A92" s="5">
        <v>3321</v>
      </c>
      <c r="B92" s="9" t="s">
        <v>93</v>
      </c>
      <c r="C92" s="9" t="s">
        <v>1</v>
      </c>
      <c r="D92" s="6">
        <v>45438</v>
      </c>
      <c r="E92" s="9" t="s">
        <v>300</v>
      </c>
      <c r="F92" s="13">
        <v>15</v>
      </c>
      <c r="G92" s="9" t="s">
        <v>297</v>
      </c>
      <c r="H92" s="9" t="s">
        <v>300</v>
      </c>
      <c r="I92" s="13">
        <v>30</v>
      </c>
      <c r="J92" s="9" t="s">
        <v>300</v>
      </c>
      <c r="K92" s="13">
        <v>20</v>
      </c>
      <c r="L92" s="13">
        <v>5</v>
      </c>
      <c r="M92" s="15">
        <v>60</v>
      </c>
    </row>
    <row r="93" spans="1:13" ht="16.5" customHeight="1">
      <c r="A93" s="1">
        <v>3322</v>
      </c>
      <c r="B93" s="10" t="s">
        <v>94</v>
      </c>
      <c r="C93" s="10" t="s">
        <v>5</v>
      </c>
      <c r="D93" s="2">
        <v>45439</v>
      </c>
      <c r="E93" s="9" t="s">
        <v>301</v>
      </c>
      <c r="F93" s="12">
        <v>10</v>
      </c>
      <c r="G93" s="10" t="s">
        <v>299</v>
      </c>
      <c r="H93" s="9" t="s">
        <v>301</v>
      </c>
      <c r="I93" s="12" t="s">
        <v>283</v>
      </c>
      <c r="J93" s="9" t="s">
        <v>300</v>
      </c>
      <c r="K93" s="12">
        <v>20</v>
      </c>
      <c r="L93" s="12">
        <v>15</v>
      </c>
      <c r="M93" s="16">
        <v>15</v>
      </c>
    </row>
    <row r="94" spans="1:13" ht="16.5" customHeight="1">
      <c r="A94" s="1">
        <v>3323</v>
      </c>
      <c r="B94" s="10" t="s">
        <v>95</v>
      </c>
      <c r="C94" s="10" t="s">
        <v>3</v>
      </c>
      <c r="D94" s="2">
        <v>45440</v>
      </c>
      <c r="E94" s="9" t="s">
        <v>300</v>
      </c>
      <c r="F94" s="12">
        <v>5</v>
      </c>
      <c r="G94" s="10" t="s">
        <v>297</v>
      </c>
      <c r="H94" s="9" t="s">
        <v>301</v>
      </c>
      <c r="I94" s="12" t="s">
        <v>283</v>
      </c>
      <c r="J94" s="9" t="s">
        <v>301</v>
      </c>
      <c r="K94" s="12">
        <v>0</v>
      </c>
      <c r="L94" s="12">
        <v>1</v>
      </c>
      <c r="M94" s="16">
        <v>4</v>
      </c>
    </row>
    <row r="95" spans="1:13" ht="16.5" customHeight="1">
      <c r="A95" s="5">
        <v>3324</v>
      </c>
      <c r="B95" s="9" t="s">
        <v>96</v>
      </c>
      <c r="C95" s="9" t="s">
        <v>1</v>
      </c>
      <c r="D95" s="6">
        <v>45441</v>
      </c>
      <c r="E95" s="9" t="s">
        <v>301</v>
      </c>
      <c r="F95" s="13">
        <v>15</v>
      </c>
      <c r="G95" s="9" t="s">
        <v>298</v>
      </c>
      <c r="H95" s="9" t="s">
        <v>300</v>
      </c>
      <c r="I95" s="13">
        <v>30</v>
      </c>
      <c r="J95" s="9" t="s">
        <v>300</v>
      </c>
      <c r="K95" s="13">
        <v>20</v>
      </c>
      <c r="L95" s="13">
        <v>20</v>
      </c>
      <c r="M95" s="15">
        <v>45</v>
      </c>
    </row>
    <row r="96" spans="1:13" ht="16.5" customHeight="1">
      <c r="A96" s="1">
        <v>3325</v>
      </c>
      <c r="B96" s="10" t="s">
        <v>97</v>
      </c>
      <c r="C96" s="10" t="s">
        <v>5</v>
      </c>
      <c r="D96" s="2">
        <v>45442</v>
      </c>
      <c r="E96" s="9" t="s">
        <v>300</v>
      </c>
      <c r="F96" s="12">
        <v>10</v>
      </c>
      <c r="G96" s="10" t="s">
        <v>298</v>
      </c>
      <c r="H96" s="9" t="s">
        <v>301</v>
      </c>
      <c r="I96" s="12" t="s">
        <v>283</v>
      </c>
      <c r="J96" s="9" t="s">
        <v>300</v>
      </c>
      <c r="K96" s="12">
        <v>20</v>
      </c>
      <c r="L96" s="12">
        <v>15</v>
      </c>
      <c r="M96" s="16">
        <v>15</v>
      </c>
    </row>
    <row r="97" spans="1:13" ht="16.5" customHeight="1">
      <c r="A97" s="1">
        <v>3326</v>
      </c>
      <c r="B97" s="10" t="s">
        <v>98</v>
      </c>
      <c r="C97" s="10" t="s">
        <v>3</v>
      </c>
      <c r="D97" s="2">
        <v>45443</v>
      </c>
      <c r="E97" s="9" t="s">
        <v>301</v>
      </c>
      <c r="F97" s="12">
        <v>5</v>
      </c>
      <c r="G97" s="10" t="s">
        <v>299</v>
      </c>
      <c r="H97" s="9" t="s">
        <v>301</v>
      </c>
      <c r="I97" s="12" t="s">
        <v>283</v>
      </c>
      <c r="J97" s="9" t="s">
        <v>301</v>
      </c>
      <c r="K97" s="12">
        <v>0</v>
      </c>
      <c r="L97" s="12">
        <v>0</v>
      </c>
      <c r="M97" s="16">
        <v>5</v>
      </c>
    </row>
    <row r="98" spans="1:13" ht="16.5" customHeight="1">
      <c r="A98" s="5">
        <v>3327</v>
      </c>
      <c r="B98" s="9" t="s">
        <v>99</v>
      </c>
      <c r="C98" s="9" t="s">
        <v>1</v>
      </c>
      <c r="D98" s="6">
        <v>45444</v>
      </c>
      <c r="E98" s="9" t="s">
        <v>300</v>
      </c>
      <c r="F98" s="13">
        <v>15</v>
      </c>
      <c r="G98" s="9" t="s">
        <v>297</v>
      </c>
      <c r="H98" s="9" t="s">
        <v>300</v>
      </c>
      <c r="I98" s="13">
        <v>30</v>
      </c>
      <c r="J98" s="9" t="s">
        <v>300</v>
      </c>
      <c r="K98" s="13">
        <v>20</v>
      </c>
      <c r="L98" s="13">
        <v>7</v>
      </c>
      <c r="M98" s="15">
        <v>58</v>
      </c>
    </row>
    <row r="99" spans="1:13" ht="16.5" customHeight="1">
      <c r="A99" s="1">
        <v>3328</v>
      </c>
      <c r="B99" s="10" t="s">
        <v>100</v>
      </c>
      <c r="C99" s="10" t="s">
        <v>5</v>
      </c>
      <c r="D99" s="2">
        <v>45445</v>
      </c>
      <c r="E99" s="9" t="s">
        <v>301</v>
      </c>
      <c r="F99" s="12">
        <v>10</v>
      </c>
      <c r="G99" s="10" t="s">
        <v>299</v>
      </c>
      <c r="H99" s="9" t="s">
        <v>301</v>
      </c>
      <c r="I99" s="12" t="s">
        <v>283</v>
      </c>
      <c r="J99" s="9" t="s">
        <v>300</v>
      </c>
      <c r="K99" s="12">
        <v>20</v>
      </c>
      <c r="L99" s="12">
        <v>10</v>
      </c>
      <c r="M99" s="16">
        <v>20</v>
      </c>
    </row>
    <row r="100" spans="1:13" ht="16.5" customHeight="1">
      <c r="A100" s="1">
        <v>3329</v>
      </c>
      <c r="B100" s="10" t="s">
        <v>101</v>
      </c>
      <c r="C100" s="10" t="s">
        <v>3</v>
      </c>
      <c r="D100" s="2">
        <v>45446</v>
      </c>
      <c r="E100" s="9" t="s">
        <v>300</v>
      </c>
      <c r="F100" s="12">
        <v>5</v>
      </c>
      <c r="G100" s="10" t="s">
        <v>298</v>
      </c>
      <c r="H100" s="9" t="s">
        <v>301</v>
      </c>
      <c r="I100" s="12" t="s">
        <v>283</v>
      </c>
      <c r="J100" s="9" t="s">
        <v>301</v>
      </c>
      <c r="K100" s="12">
        <v>0</v>
      </c>
      <c r="L100" s="12">
        <v>1</v>
      </c>
      <c r="M100" s="16">
        <v>4</v>
      </c>
    </row>
    <row r="101" spans="1:13" ht="16.5" customHeight="1">
      <c r="A101" s="5">
        <v>3330</v>
      </c>
      <c r="B101" s="9" t="s">
        <v>102</v>
      </c>
      <c r="C101" s="9" t="s">
        <v>1</v>
      </c>
      <c r="D101" s="6">
        <v>45447</v>
      </c>
      <c r="E101" s="9" t="s">
        <v>301</v>
      </c>
      <c r="F101" s="13">
        <v>15</v>
      </c>
      <c r="G101" s="9" t="s">
        <v>297</v>
      </c>
      <c r="H101" s="9" t="s">
        <v>300</v>
      </c>
      <c r="I101" s="13">
        <v>30</v>
      </c>
      <c r="J101" s="9" t="s">
        <v>300</v>
      </c>
      <c r="K101" s="13">
        <v>20</v>
      </c>
      <c r="L101" s="13">
        <v>15</v>
      </c>
      <c r="M101" s="15">
        <v>50</v>
      </c>
    </row>
    <row r="102" spans="1:13" ht="16.5" customHeight="1">
      <c r="A102" s="1">
        <v>3331</v>
      </c>
      <c r="B102" s="10" t="s">
        <v>103</v>
      </c>
      <c r="C102" s="10" t="s">
        <v>5</v>
      </c>
      <c r="D102" s="2">
        <v>45448</v>
      </c>
      <c r="E102" s="9" t="s">
        <v>300</v>
      </c>
      <c r="F102" s="12">
        <v>10</v>
      </c>
      <c r="G102" s="10" t="s">
        <v>297</v>
      </c>
      <c r="H102" s="9" t="s">
        <v>301</v>
      </c>
      <c r="I102" s="12" t="s">
        <v>283</v>
      </c>
      <c r="J102" s="9" t="s">
        <v>300</v>
      </c>
      <c r="K102" s="12">
        <v>20</v>
      </c>
      <c r="L102" s="12">
        <v>5</v>
      </c>
      <c r="M102" s="16">
        <v>25</v>
      </c>
    </row>
    <row r="103" spans="1:13" ht="16.5" customHeight="1">
      <c r="A103" s="1">
        <v>3332</v>
      </c>
      <c r="B103" s="10" t="s">
        <v>104</v>
      </c>
      <c r="C103" s="10" t="s">
        <v>3</v>
      </c>
      <c r="D103" s="2">
        <v>45449</v>
      </c>
      <c r="E103" s="9" t="s">
        <v>301</v>
      </c>
      <c r="F103" s="12">
        <v>5</v>
      </c>
      <c r="G103" s="10" t="s">
        <v>299</v>
      </c>
      <c r="H103" s="9" t="s">
        <v>301</v>
      </c>
      <c r="I103" s="12" t="s">
        <v>283</v>
      </c>
      <c r="J103" s="9" t="s">
        <v>301</v>
      </c>
      <c r="K103" s="12">
        <v>0</v>
      </c>
      <c r="L103" s="12">
        <v>0</v>
      </c>
      <c r="M103" s="16">
        <v>5</v>
      </c>
    </row>
    <row r="104" spans="1:13" ht="16.5" customHeight="1">
      <c r="A104" s="5">
        <v>3333</v>
      </c>
      <c r="B104" s="9" t="s">
        <v>105</v>
      </c>
      <c r="C104" s="9" t="s">
        <v>1</v>
      </c>
      <c r="D104" s="6">
        <v>45450</v>
      </c>
      <c r="E104" s="9" t="s">
        <v>300</v>
      </c>
      <c r="F104" s="13">
        <v>15</v>
      </c>
      <c r="G104" s="9" t="s">
        <v>298</v>
      </c>
      <c r="H104" s="9" t="s">
        <v>300</v>
      </c>
      <c r="I104" s="13">
        <v>30</v>
      </c>
      <c r="J104" s="9" t="s">
        <v>300</v>
      </c>
      <c r="K104" s="13">
        <v>20</v>
      </c>
      <c r="L104" s="13">
        <v>20</v>
      </c>
      <c r="M104" s="15">
        <v>45</v>
      </c>
    </row>
    <row r="105" spans="1:13" ht="16.5" customHeight="1">
      <c r="A105" s="1">
        <v>3334</v>
      </c>
      <c r="B105" s="10" t="s">
        <v>106</v>
      </c>
      <c r="C105" s="10" t="s">
        <v>5</v>
      </c>
      <c r="D105" s="2">
        <v>45451</v>
      </c>
      <c r="E105" s="9" t="s">
        <v>301</v>
      </c>
      <c r="F105" s="12">
        <v>10</v>
      </c>
      <c r="G105" s="10" t="s">
        <v>298</v>
      </c>
      <c r="H105" s="9" t="s">
        <v>301</v>
      </c>
      <c r="I105" s="12" t="s">
        <v>283</v>
      </c>
      <c r="J105" s="9" t="s">
        <v>300</v>
      </c>
      <c r="K105" s="12">
        <v>20</v>
      </c>
      <c r="L105" s="12">
        <v>12</v>
      </c>
      <c r="M105" s="16">
        <v>18</v>
      </c>
    </row>
    <row r="106" spans="1:13" ht="16.5" customHeight="1">
      <c r="A106" s="1">
        <v>3335</v>
      </c>
      <c r="B106" s="10" t="s">
        <v>107</v>
      </c>
      <c r="C106" s="10" t="s">
        <v>3</v>
      </c>
      <c r="D106" s="2">
        <v>45452</v>
      </c>
      <c r="E106" s="9" t="s">
        <v>300</v>
      </c>
      <c r="F106" s="12">
        <v>5</v>
      </c>
      <c r="G106" s="10" t="s">
        <v>297</v>
      </c>
      <c r="H106" s="9" t="s">
        <v>301</v>
      </c>
      <c r="I106" s="12" t="s">
        <v>283</v>
      </c>
      <c r="J106" s="9" t="s">
        <v>301</v>
      </c>
      <c r="K106" s="12">
        <v>0</v>
      </c>
      <c r="L106" s="12">
        <v>2</v>
      </c>
      <c r="M106" s="16">
        <v>3</v>
      </c>
    </row>
    <row r="107" spans="1:13" ht="16.5" customHeight="1">
      <c r="A107" s="1">
        <v>3336</v>
      </c>
      <c r="B107" s="10" t="s">
        <v>108</v>
      </c>
      <c r="C107" s="10" t="s">
        <v>3</v>
      </c>
      <c r="D107" s="2">
        <v>45453</v>
      </c>
      <c r="E107" s="9" t="s">
        <v>300</v>
      </c>
      <c r="F107" s="12">
        <v>5</v>
      </c>
      <c r="G107" s="10" t="s">
        <v>297</v>
      </c>
      <c r="H107" s="9" t="s">
        <v>301</v>
      </c>
      <c r="I107" s="12" t="s">
        <v>283</v>
      </c>
      <c r="J107" s="9" t="s">
        <v>301</v>
      </c>
      <c r="K107" s="12">
        <v>0</v>
      </c>
      <c r="L107" s="12">
        <v>0</v>
      </c>
      <c r="M107" s="16">
        <v>5</v>
      </c>
    </row>
    <row r="108" spans="1:13" ht="16.5" customHeight="1">
      <c r="A108" s="5">
        <v>3337</v>
      </c>
      <c r="B108" s="9" t="s">
        <v>109</v>
      </c>
      <c r="C108" s="9" t="s">
        <v>1</v>
      </c>
      <c r="D108" s="6">
        <v>45454</v>
      </c>
      <c r="E108" s="9" t="s">
        <v>301</v>
      </c>
      <c r="F108" s="13">
        <v>15</v>
      </c>
      <c r="G108" s="9" t="s">
        <v>298</v>
      </c>
      <c r="H108" s="9" t="s">
        <v>300</v>
      </c>
      <c r="I108" s="13">
        <v>30</v>
      </c>
      <c r="J108" s="9" t="s">
        <v>300</v>
      </c>
      <c r="K108" s="13">
        <v>20</v>
      </c>
      <c r="L108" s="13">
        <v>7</v>
      </c>
      <c r="M108" s="15">
        <v>58</v>
      </c>
    </row>
    <row r="109" spans="1:13" ht="16.5" customHeight="1">
      <c r="A109" s="1">
        <v>3338</v>
      </c>
      <c r="B109" s="10" t="s">
        <v>110</v>
      </c>
      <c r="C109" s="10" t="s">
        <v>5</v>
      </c>
      <c r="D109" s="2">
        <v>45455</v>
      </c>
      <c r="E109" s="9" t="s">
        <v>300</v>
      </c>
      <c r="F109" s="12">
        <v>10</v>
      </c>
      <c r="G109" s="10" t="s">
        <v>299</v>
      </c>
      <c r="H109" s="9" t="s">
        <v>301</v>
      </c>
      <c r="I109" s="12" t="s">
        <v>283</v>
      </c>
      <c r="J109" s="9" t="s">
        <v>300</v>
      </c>
      <c r="K109" s="12">
        <v>20</v>
      </c>
      <c r="L109" s="12">
        <v>10</v>
      </c>
      <c r="M109" s="16">
        <v>20</v>
      </c>
    </row>
    <row r="110" spans="1:13" ht="16.5" customHeight="1">
      <c r="A110" s="1">
        <v>3339</v>
      </c>
      <c r="B110" s="10" t="s">
        <v>111</v>
      </c>
      <c r="C110" s="10" t="s">
        <v>3</v>
      </c>
      <c r="D110" s="2">
        <v>45456</v>
      </c>
      <c r="E110" s="9" t="s">
        <v>301</v>
      </c>
      <c r="F110" s="12">
        <v>5</v>
      </c>
      <c r="G110" s="10" t="s">
        <v>298</v>
      </c>
      <c r="H110" s="9" t="s">
        <v>301</v>
      </c>
      <c r="I110" s="12" t="s">
        <v>283</v>
      </c>
      <c r="J110" s="9" t="s">
        <v>301</v>
      </c>
      <c r="K110" s="12">
        <v>0</v>
      </c>
      <c r="L110" s="12">
        <v>1</v>
      </c>
      <c r="M110" s="16">
        <v>4</v>
      </c>
    </row>
    <row r="111" spans="1:13" ht="16.5" customHeight="1">
      <c r="A111" s="5">
        <v>3340</v>
      </c>
      <c r="B111" s="9" t="s">
        <v>112</v>
      </c>
      <c r="C111" s="9" t="s">
        <v>1</v>
      </c>
      <c r="D111" s="6">
        <v>45457</v>
      </c>
      <c r="E111" s="9" t="s">
        <v>300</v>
      </c>
      <c r="F111" s="13">
        <v>15</v>
      </c>
      <c r="G111" s="9" t="s">
        <v>297</v>
      </c>
      <c r="H111" s="9" t="s">
        <v>300</v>
      </c>
      <c r="I111" s="13">
        <v>30</v>
      </c>
      <c r="J111" s="9" t="s">
        <v>300</v>
      </c>
      <c r="K111" s="13">
        <v>20</v>
      </c>
      <c r="L111" s="13">
        <v>15</v>
      </c>
      <c r="M111" s="15">
        <v>50</v>
      </c>
    </row>
    <row r="112" spans="1:13" ht="16.5" customHeight="1">
      <c r="A112" s="1">
        <v>3341</v>
      </c>
      <c r="B112" s="10" t="s">
        <v>113</v>
      </c>
      <c r="C112" s="10" t="s">
        <v>5</v>
      </c>
      <c r="D112" s="2">
        <v>45458</v>
      </c>
      <c r="E112" s="9" t="s">
        <v>301</v>
      </c>
      <c r="F112" s="12">
        <v>10</v>
      </c>
      <c r="G112" s="10" t="s">
        <v>297</v>
      </c>
      <c r="H112" s="9" t="s">
        <v>301</v>
      </c>
      <c r="I112" s="12" t="s">
        <v>283</v>
      </c>
      <c r="J112" s="9" t="s">
        <v>300</v>
      </c>
      <c r="K112" s="12">
        <v>20</v>
      </c>
      <c r="L112" s="12">
        <v>5</v>
      </c>
      <c r="M112" s="16">
        <v>25</v>
      </c>
    </row>
    <row r="113" spans="1:13" ht="16.5" customHeight="1">
      <c r="A113" s="1">
        <v>3342</v>
      </c>
      <c r="B113" s="10" t="s">
        <v>114</v>
      </c>
      <c r="C113" s="10" t="s">
        <v>3</v>
      </c>
      <c r="D113" s="2">
        <v>45459</v>
      </c>
      <c r="E113" s="9" t="s">
        <v>300</v>
      </c>
      <c r="F113" s="12">
        <v>5</v>
      </c>
      <c r="G113" s="10" t="s">
        <v>299</v>
      </c>
      <c r="H113" s="9" t="s">
        <v>301</v>
      </c>
      <c r="I113" s="12" t="s">
        <v>283</v>
      </c>
      <c r="J113" s="9" t="s">
        <v>301</v>
      </c>
      <c r="K113" s="12">
        <v>0</v>
      </c>
      <c r="L113" s="12">
        <v>0</v>
      </c>
      <c r="M113" s="16">
        <v>5</v>
      </c>
    </row>
    <row r="114" spans="1:13" ht="16.5" customHeight="1">
      <c r="A114" s="5">
        <v>3343</v>
      </c>
      <c r="B114" s="9" t="s">
        <v>115</v>
      </c>
      <c r="C114" s="9" t="s">
        <v>1</v>
      </c>
      <c r="D114" s="6">
        <v>45460</v>
      </c>
      <c r="E114" s="9" t="s">
        <v>301</v>
      </c>
      <c r="F114" s="13">
        <v>15</v>
      </c>
      <c r="G114" s="9" t="s">
        <v>298</v>
      </c>
      <c r="H114" s="9" t="s">
        <v>300</v>
      </c>
      <c r="I114" s="13">
        <v>30</v>
      </c>
      <c r="J114" s="9" t="s">
        <v>300</v>
      </c>
      <c r="K114" s="13">
        <v>20</v>
      </c>
      <c r="L114" s="13">
        <v>20</v>
      </c>
      <c r="M114" s="15">
        <v>45</v>
      </c>
    </row>
    <row r="115" spans="1:13" ht="16.5" customHeight="1">
      <c r="A115" s="1">
        <v>3344</v>
      </c>
      <c r="B115" s="10" t="s">
        <v>116</v>
      </c>
      <c r="C115" s="10" t="s">
        <v>5</v>
      </c>
      <c r="D115" s="2">
        <v>45461</v>
      </c>
      <c r="E115" s="9" t="s">
        <v>300</v>
      </c>
      <c r="F115" s="12">
        <v>10</v>
      </c>
      <c r="G115" s="10" t="s">
        <v>298</v>
      </c>
      <c r="H115" s="9" t="s">
        <v>301</v>
      </c>
      <c r="I115" s="12" t="s">
        <v>283</v>
      </c>
      <c r="J115" s="9" t="s">
        <v>300</v>
      </c>
      <c r="K115" s="12">
        <v>20</v>
      </c>
      <c r="L115" s="12">
        <v>12</v>
      </c>
      <c r="M115" s="16">
        <v>18</v>
      </c>
    </row>
    <row r="116" spans="1:13" ht="16.5" customHeight="1">
      <c r="A116" s="1">
        <v>3345</v>
      </c>
      <c r="B116" s="10" t="s">
        <v>117</v>
      </c>
      <c r="C116" s="10" t="s">
        <v>3</v>
      </c>
      <c r="D116" s="2">
        <v>45462</v>
      </c>
      <c r="E116" s="9" t="s">
        <v>301</v>
      </c>
      <c r="F116" s="12">
        <v>5</v>
      </c>
      <c r="G116" s="10" t="s">
        <v>297</v>
      </c>
      <c r="H116" s="9" t="s">
        <v>301</v>
      </c>
      <c r="I116" s="12" t="s">
        <v>283</v>
      </c>
      <c r="J116" s="9" t="s">
        <v>301</v>
      </c>
      <c r="K116" s="12">
        <v>0</v>
      </c>
      <c r="L116" s="12">
        <v>2</v>
      </c>
      <c r="M116" s="16">
        <v>3</v>
      </c>
    </row>
    <row r="117" spans="1:13" ht="16.5" customHeight="1">
      <c r="A117" s="5">
        <v>3346</v>
      </c>
      <c r="B117" s="9" t="s">
        <v>118</v>
      </c>
      <c r="C117" s="9" t="s">
        <v>1</v>
      </c>
      <c r="D117" s="6">
        <v>45463</v>
      </c>
      <c r="E117" s="9" t="s">
        <v>300</v>
      </c>
      <c r="F117" s="13">
        <v>15</v>
      </c>
      <c r="G117" s="9" t="s">
        <v>299</v>
      </c>
      <c r="H117" s="9" t="s">
        <v>300</v>
      </c>
      <c r="I117" s="13">
        <v>30</v>
      </c>
      <c r="J117" s="9" t="s">
        <v>300</v>
      </c>
      <c r="K117" s="13">
        <v>20</v>
      </c>
      <c r="L117" s="13">
        <v>5</v>
      </c>
      <c r="M117" s="15">
        <v>60</v>
      </c>
    </row>
    <row r="118" spans="1:13" ht="16.5" customHeight="1">
      <c r="A118" s="1">
        <v>3347</v>
      </c>
      <c r="B118" s="10" t="s">
        <v>119</v>
      </c>
      <c r="C118" s="10" t="s">
        <v>5</v>
      </c>
      <c r="D118" s="2">
        <v>45464</v>
      </c>
      <c r="E118" s="9" t="s">
        <v>301</v>
      </c>
      <c r="F118" s="12">
        <v>10</v>
      </c>
      <c r="G118" s="10" t="s">
        <v>297</v>
      </c>
      <c r="H118" s="9" t="s">
        <v>301</v>
      </c>
      <c r="I118" s="12" t="s">
        <v>283</v>
      </c>
      <c r="J118" s="9" t="s">
        <v>300</v>
      </c>
      <c r="K118" s="12">
        <v>20</v>
      </c>
      <c r="L118" s="12">
        <v>10</v>
      </c>
      <c r="M118" s="16">
        <v>20</v>
      </c>
    </row>
    <row r="119" spans="1:13" ht="16.5" customHeight="1">
      <c r="A119" s="1">
        <v>3348</v>
      </c>
      <c r="B119" s="10" t="s">
        <v>120</v>
      </c>
      <c r="C119" s="10" t="s">
        <v>3</v>
      </c>
      <c r="D119" s="2">
        <v>45465</v>
      </c>
      <c r="E119" s="9" t="s">
        <v>300</v>
      </c>
      <c r="F119" s="12">
        <v>5</v>
      </c>
      <c r="G119" s="10" t="s">
        <v>298</v>
      </c>
      <c r="H119" s="9" t="s">
        <v>301</v>
      </c>
      <c r="I119" s="12" t="s">
        <v>283</v>
      </c>
      <c r="J119" s="9" t="s">
        <v>301</v>
      </c>
      <c r="K119" s="12">
        <v>0</v>
      </c>
      <c r="L119" s="12">
        <v>0</v>
      </c>
      <c r="M119" s="16">
        <v>5</v>
      </c>
    </row>
    <row r="120" spans="1:13" ht="16.5" customHeight="1">
      <c r="A120" s="5">
        <v>3349</v>
      </c>
      <c r="B120" s="9" t="s">
        <v>96</v>
      </c>
      <c r="C120" s="9" t="s">
        <v>1</v>
      </c>
      <c r="D120" s="6">
        <v>45466</v>
      </c>
      <c r="E120" s="9" t="s">
        <v>301</v>
      </c>
      <c r="F120" s="13">
        <v>15</v>
      </c>
      <c r="G120" s="9" t="s">
        <v>297</v>
      </c>
      <c r="H120" s="9" t="s">
        <v>300</v>
      </c>
      <c r="I120" s="13">
        <v>30</v>
      </c>
      <c r="J120" s="9" t="s">
        <v>300</v>
      </c>
      <c r="K120" s="13">
        <v>20</v>
      </c>
      <c r="L120" s="13">
        <v>3</v>
      </c>
      <c r="M120" s="15">
        <v>62</v>
      </c>
    </row>
    <row r="121" spans="1:13" ht="16.5" customHeight="1">
      <c r="A121" s="1">
        <v>3350</v>
      </c>
      <c r="B121" s="10" t="s">
        <v>121</v>
      </c>
      <c r="C121" s="10" t="s">
        <v>5</v>
      </c>
      <c r="D121" s="2">
        <v>45467</v>
      </c>
      <c r="E121" s="9" t="s">
        <v>300</v>
      </c>
      <c r="F121" s="12">
        <v>10</v>
      </c>
      <c r="G121" s="10" t="s">
        <v>299</v>
      </c>
      <c r="H121" s="9" t="s">
        <v>301</v>
      </c>
      <c r="I121" s="12" t="s">
        <v>283</v>
      </c>
      <c r="J121" s="9" t="s">
        <v>300</v>
      </c>
      <c r="K121" s="12">
        <v>20</v>
      </c>
      <c r="L121" s="12">
        <v>15</v>
      </c>
      <c r="M121" s="16">
        <v>15</v>
      </c>
    </row>
    <row r="122" spans="1:13" ht="16.5" customHeight="1">
      <c r="A122" s="1">
        <v>3351</v>
      </c>
      <c r="B122" s="10" t="s">
        <v>122</v>
      </c>
      <c r="C122" s="10" t="s">
        <v>3</v>
      </c>
      <c r="D122" s="2">
        <v>45468</v>
      </c>
      <c r="E122" s="9" t="s">
        <v>301</v>
      </c>
      <c r="F122" s="12">
        <v>5</v>
      </c>
      <c r="G122" s="10" t="s">
        <v>297</v>
      </c>
      <c r="H122" s="9" t="s">
        <v>301</v>
      </c>
      <c r="I122" s="12" t="s">
        <v>283</v>
      </c>
      <c r="J122" s="9" t="s">
        <v>301</v>
      </c>
      <c r="K122" s="12">
        <v>0</v>
      </c>
      <c r="L122" s="12">
        <v>1</v>
      </c>
      <c r="M122" s="16">
        <v>4</v>
      </c>
    </row>
    <row r="123" spans="1:13" ht="16.5" customHeight="1">
      <c r="A123" s="5">
        <v>3352</v>
      </c>
      <c r="B123" s="9" t="s">
        <v>123</v>
      </c>
      <c r="C123" s="9" t="s">
        <v>1</v>
      </c>
      <c r="D123" s="6">
        <v>45469</v>
      </c>
      <c r="E123" s="9" t="s">
        <v>300</v>
      </c>
      <c r="F123" s="13">
        <v>15</v>
      </c>
      <c r="G123" s="9" t="s">
        <v>298</v>
      </c>
      <c r="H123" s="9" t="s">
        <v>300</v>
      </c>
      <c r="I123" s="13">
        <v>30</v>
      </c>
      <c r="J123" s="9" t="s">
        <v>300</v>
      </c>
      <c r="K123" s="13">
        <v>20</v>
      </c>
      <c r="L123" s="13">
        <v>7</v>
      </c>
      <c r="M123" s="15">
        <v>58</v>
      </c>
    </row>
    <row r="124" spans="1:13" ht="16.5" customHeight="1">
      <c r="A124" s="1">
        <v>3353</v>
      </c>
      <c r="B124" s="10" t="s">
        <v>124</v>
      </c>
      <c r="C124" s="10" t="s">
        <v>5</v>
      </c>
      <c r="D124" s="2">
        <v>45470</v>
      </c>
      <c r="E124" s="9" t="s">
        <v>301</v>
      </c>
      <c r="F124" s="12">
        <v>10</v>
      </c>
      <c r="G124" s="10" t="s">
        <v>297</v>
      </c>
      <c r="H124" s="9" t="s">
        <v>301</v>
      </c>
      <c r="I124" s="12" t="s">
        <v>283</v>
      </c>
      <c r="J124" s="9" t="s">
        <v>300</v>
      </c>
      <c r="K124" s="12">
        <v>20</v>
      </c>
      <c r="L124" s="12">
        <v>10</v>
      </c>
      <c r="M124" s="16">
        <v>20</v>
      </c>
    </row>
    <row r="125" spans="1:13" ht="16.5" customHeight="1">
      <c r="A125" s="1">
        <v>3354</v>
      </c>
      <c r="B125" s="10" t="s">
        <v>125</v>
      </c>
      <c r="C125" s="10" t="s">
        <v>3</v>
      </c>
      <c r="D125" s="2">
        <v>45471</v>
      </c>
      <c r="E125" s="9" t="s">
        <v>300</v>
      </c>
      <c r="F125" s="12">
        <v>5</v>
      </c>
      <c r="G125" s="10" t="s">
        <v>299</v>
      </c>
      <c r="H125" s="9" t="s">
        <v>301</v>
      </c>
      <c r="I125" s="12" t="s">
        <v>283</v>
      </c>
      <c r="J125" s="9" t="s">
        <v>301</v>
      </c>
      <c r="K125" s="12">
        <v>0</v>
      </c>
      <c r="L125" s="12">
        <v>0</v>
      </c>
      <c r="M125" s="16">
        <v>5</v>
      </c>
    </row>
    <row r="126" spans="1:13" ht="16.5" customHeight="1">
      <c r="A126" s="5">
        <v>3355</v>
      </c>
      <c r="B126" s="9" t="s">
        <v>126</v>
      </c>
      <c r="C126" s="9" t="s">
        <v>1</v>
      </c>
      <c r="D126" s="6">
        <v>45472</v>
      </c>
      <c r="E126" s="9" t="s">
        <v>301</v>
      </c>
      <c r="F126" s="13">
        <v>15</v>
      </c>
      <c r="G126" s="9" t="s">
        <v>297</v>
      </c>
      <c r="H126" s="9" t="s">
        <v>300</v>
      </c>
      <c r="I126" s="13">
        <v>30</v>
      </c>
      <c r="J126" s="9" t="s">
        <v>300</v>
      </c>
      <c r="K126" s="13">
        <v>20</v>
      </c>
      <c r="L126" s="13">
        <v>20</v>
      </c>
      <c r="M126" s="15">
        <v>45</v>
      </c>
    </row>
    <row r="127" spans="1:13" ht="16.5" customHeight="1">
      <c r="A127" s="1">
        <v>3356</v>
      </c>
      <c r="B127" s="10" t="s">
        <v>127</v>
      </c>
      <c r="C127" s="10" t="s">
        <v>5</v>
      </c>
      <c r="D127" s="2">
        <v>45473</v>
      </c>
      <c r="E127" s="9" t="s">
        <v>300</v>
      </c>
      <c r="F127" s="12">
        <v>10</v>
      </c>
      <c r="G127" s="10" t="s">
        <v>298</v>
      </c>
      <c r="H127" s="9" t="s">
        <v>301</v>
      </c>
      <c r="I127" s="12" t="s">
        <v>283</v>
      </c>
      <c r="J127" s="9" t="s">
        <v>300</v>
      </c>
      <c r="K127" s="12">
        <v>20</v>
      </c>
      <c r="L127" s="12">
        <v>15</v>
      </c>
      <c r="M127" s="16">
        <v>15</v>
      </c>
    </row>
    <row r="128" spans="1:13" ht="16.5" customHeight="1">
      <c r="A128" s="1">
        <v>3357</v>
      </c>
      <c r="B128" s="10" t="s">
        <v>128</v>
      </c>
      <c r="C128" s="10" t="s">
        <v>3</v>
      </c>
      <c r="D128" s="2">
        <v>45474</v>
      </c>
      <c r="E128" s="9" t="s">
        <v>301</v>
      </c>
      <c r="F128" s="12">
        <v>5</v>
      </c>
      <c r="G128" s="10" t="s">
        <v>297</v>
      </c>
      <c r="H128" s="9" t="s">
        <v>301</v>
      </c>
      <c r="I128" s="12" t="s">
        <v>283</v>
      </c>
      <c r="J128" s="9" t="s">
        <v>301</v>
      </c>
      <c r="K128" s="12">
        <v>0</v>
      </c>
      <c r="L128" s="12">
        <v>1</v>
      </c>
      <c r="M128" s="16">
        <v>4</v>
      </c>
    </row>
    <row r="129" spans="1:13" ht="16.5" customHeight="1">
      <c r="A129" s="5">
        <v>3358</v>
      </c>
      <c r="B129" s="9" t="s">
        <v>129</v>
      </c>
      <c r="C129" s="9" t="s">
        <v>1</v>
      </c>
      <c r="D129" s="6">
        <v>45475</v>
      </c>
      <c r="E129" s="9" t="s">
        <v>300</v>
      </c>
      <c r="F129" s="13">
        <v>15</v>
      </c>
      <c r="G129" s="9" t="s">
        <v>299</v>
      </c>
      <c r="H129" s="9" t="s">
        <v>300</v>
      </c>
      <c r="I129" s="13">
        <v>30</v>
      </c>
      <c r="J129" s="9" t="s">
        <v>300</v>
      </c>
      <c r="K129" s="13">
        <v>20</v>
      </c>
      <c r="L129" s="13">
        <v>3</v>
      </c>
      <c r="M129" s="15">
        <v>62</v>
      </c>
    </row>
    <row r="130" spans="1:13" ht="16.5" customHeight="1">
      <c r="A130" s="1">
        <v>3359</v>
      </c>
      <c r="B130" s="10" t="s">
        <v>130</v>
      </c>
      <c r="C130" s="10" t="s">
        <v>5</v>
      </c>
      <c r="D130" s="2">
        <v>45476</v>
      </c>
      <c r="E130" s="9" t="s">
        <v>301</v>
      </c>
      <c r="F130" s="12">
        <v>10</v>
      </c>
      <c r="G130" s="10" t="s">
        <v>297</v>
      </c>
      <c r="H130" s="9" t="s">
        <v>301</v>
      </c>
      <c r="I130" s="12" t="s">
        <v>283</v>
      </c>
      <c r="J130" s="9" t="s">
        <v>300</v>
      </c>
      <c r="K130" s="12">
        <v>20</v>
      </c>
      <c r="L130" s="12">
        <v>10</v>
      </c>
      <c r="M130" s="16">
        <v>20</v>
      </c>
    </row>
    <row r="131" spans="1:13" ht="16.5" customHeight="1">
      <c r="A131" s="1">
        <v>3360</v>
      </c>
      <c r="B131" s="10" t="s">
        <v>131</v>
      </c>
      <c r="C131" s="10" t="s">
        <v>3</v>
      </c>
      <c r="D131" s="2">
        <v>45477</v>
      </c>
      <c r="E131" s="9" t="s">
        <v>300</v>
      </c>
      <c r="F131" s="12">
        <v>5</v>
      </c>
      <c r="G131" s="10" t="s">
        <v>298</v>
      </c>
      <c r="H131" s="9" t="s">
        <v>301</v>
      </c>
      <c r="I131" s="12" t="s">
        <v>283</v>
      </c>
      <c r="J131" s="9" t="s">
        <v>301</v>
      </c>
      <c r="K131" s="12">
        <v>0</v>
      </c>
      <c r="L131" s="12">
        <v>0</v>
      </c>
      <c r="M131" s="16">
        <v>5</v>
      </c>
    </row>
    <row r="132" spans="1:13" ht="16.5" customHeight="1">
      <c r="A132" s="5">
        <v>3361</v>
      </c>
      <c r="B132" s="9" t="s">
        <v>132</v>
      </c>
      <c r="C132" s="9" t="s">
        <v>1</v>
      </c>
      <c r="D132" s="6">
        <v>45478</v>
      </c>
      <c r="E132" s="9" t="s">
        <v>301</v>
      </c>
      <c r="F132" s="13">
        <v>15</v>
      </c>
      <c r="G132" s="9" t="s">
        <v>297</v>
      </c>
      <c r="H132" s="9" t="s">
        <v>300</v>
      </c>
      <c r="I132" s="13">
        <v>30</v>
      </c>
      <c r="J132" s="9" t="s">
        <v>300</v>
      </c>
      <c r="K132" s="13">
        <v>20</v>
      </c>
      <c r="L132" s="13">
        <v>15</v>
      </c>
      <c r="M132" s="15">
        <v>50</v>
      </c>
    </row>
    <row r="133" spans="1:13" ht="16.5" customHeight="1">
      <c r="A133" s="1">
        <v>3362</v>
      </c>
      <c r="B133" s="10" t="s">
        <v>133</v>
      </c>
      <c r="C133" s="10" t="s">
        <v>5</v>
      </c>
      <c r="D133" s="2">
        <v>45479</v>
      </c>
      <c r="E133" s="9" t="s">
        <v>300</v>
      </c>
      <c r="F133" s="12">
        <v>10</v>
      </c>
      <c r="G133" s="10" t="s">
        <v>299</v>
      </c>
      <c r="H133" s="9" t="s">
        <v>301</v>
      </c>
      <c r="I133" s="12" t="s">
        <v>283</v>
      </c>
      <c r="J133" s="9" t="s">
        <v>300</v>
      </c>
      <c r="K133" s="12">
        <v>20</v>
      </c>
      <c r="L133" s="12">
        <v>15</v>
      </c>
      <c r="M133" s="16">
        <v>15</v>
      </c>
    </row>
    <row r="134" spans="1:13" ht="16.5" customHeight="1">
      <c r="A134" s="1">
        <v>3363</v>
      </c>
      <c r="B134" s="10" t="s">
        <v>134</v>
      </c>
      <c r="C134" s="10" t="s">
        <v>3</v>
      </c>
      <c r="D134" s="2">
        <v>45480</v>
      </c>
      <c r="E134" s="9" t="s">
        <v>301</v>
      </c>
      <c r="F134" s="12">
        <v>5</v>
      </c>
      <c r="G134" s="10" t="s">
        <v>297</v>
      </c>
      <c r="H134" s="9" t="s">
        <v>301</v>
      </c>
      <c r="I134" s="12" t="s">
        <v>283</v>
      </c>
      <c r="J134" s="9" t="s">
        <v>301</v>
      </c>
      <c r="K134" s="12">
        <v>0</v>
      </c>
      <c r="L134" s="12">
        <v>1</v>
      </c>
      <c r="M134" s="16">
        <v>4</v>
      </c>
    </row>
    <row r="135" spans="1:13" ht="16.5" customHeight="1">
      <c r="A135" s="5">
        <v>3364</v>
      </c>
      <c r="B135" s="9" t="s">
        <v>135</v>
      </c>
      <c r="C135" s="9" t="s">
        <v>1</v>
      </c>
      <c r="D135" s="6">
        <v>45481</v>
      </c>
      <c r="E135" s="9" t="s">
        <v>300</v>
      </c>
      <c r="F135" s="13">
        <v>15</v>
      </c>
      <c r="G135" s="9" t="s">
        <v>298</v>
      </c>
      <c r="H135" s="9" t="s">
        <v>300</v>
      </c>
      <c r="I135" s="13">
        <v>30</v>
      </c>
      <c r="J135" s="9" t="s">
        <v>300</v>
      </c>
      <c r="K135" s="13">
        <v>20</v>
      </c>
      <c r="L135" s="13">
        <v>7</v>
      </c>
      <c r="M135" s="15">
        <v>58</v>
      </c>
    </row>
    <row r="136" spans="1:13" ht="16.5" customHeight="1">
      <c r="A136" s="1">
        <v>3365</v>
      </c>
      <c r="B136" s="10" t="s">
        <v>136</v>
      </c>
      <c r="C136" s="10" t="s">
        <v>5</v>
      </c>
      <c r="D136" s="2">
        <v>45482</v>
      </c>
      <c r="E136" s="9" t="s">
        <v>301</v>
      </c>
      <c r="F136" s="12">
        <v>10</v>
      </c>
      <c r="G136" s="10" t="s">
        <v>297</v>
      </c>
      <c r="H136" s="9" t="s">
        <v>301</v>
      </c>
      <c r="I136" s="12" t="s">
        <v>283</v>
      </c>
      <c r="J136" s="9" t="s">
        <v>300</v>
      </c>
      <c r="K136" s="12">
        <v>20</v>
      </c>
      <c r="L136" s="12">
        <v>10</v>
      </c>
      <c r="M136" s="16">
        <v>20</v>
      </c>
    </row>
    <row r="137" spans="1:13" ht="16.5" customHeight="1">
      <c r="A137" s="1">
        <v>3366</v>
      </c>
      <c r="B137" s="10" t="s">
        <v>137</v>
      </c>
      <c r="C137" s="10" t="s">
        <v>3</v>
      </c>
      <c r="D137" s="2">
        <v>45483</v>
      </c>
      <c r="E137" s="9" t="s">
        <v>300</v>
      </c>
      <c r="F137" s="12">
        <v>5</v>
      </c>
      <c r="G137" s="10" t="s">
        <v>297</v>
      </c>
      <c r="H137" s="9" t="s">
        <v>301</v>
      </c>
      <c r="I137" s="12" t="s">
        <v>283</v>
      </c>
      <c r="J137" s="9" t="s">
        <v>301</v>
      </c>
      <c r="K137" s="12">
        <v>0</v>
      </c>
      <c r="L137" s="12">
        <v>0</v>
      </c>
      <c r="M137" s="16">
        <v>5</v>
      </c>
    </row>
    <row r="138" spans="1:13" ht="16.5" customHeight="1">
      <c r="A138" s="5">
        <v>3367</v>
      </c>
      <c r="B138" s="9" t="s">
        <v>138</v>
      </c>
      <c r="C138" s="9" t="s">
        <v>1</v>
      </c>
      <c r="D138" s="6">
        <v>45484</v>
      </c>
      <c r="E138" s="9" t="s">
        <v>301</v>
      </c>
      <c r="F138" s="13">
        <v>15</v>
      </c>
      <c r="G138" s="9" t="s">
        <v>298</v>
      </c>
      <c r="H138" s="9" t="s">
        <v>300</v>
      </c>
      <c r="I138" s="13">
        <v>30</v>
      </c>
      <c r="J138" s="9" t="s">
        <v>300</v>
      </c>
      <c r="K138" s="13">
        <v>20</v>
      </c>
      <c r="L138" s="13">
        <v>7</v>
      </c>
      <c r="M138" s="15">
        <v>58</v>
      </c>
    </row>
    <row r="139" spans="1:13" ht="16.5" customHeight="1">
      <c r="A139" s="1">
        <v>3368</v>
      </c>
      <c r="B139" s="10" t="s">
        <v>139</v>
      </c>
      <c r="C139" s="10" t="s">
        <v>5</v>
      </c>
      <c r="D139" s="2">
        <v>45485</v>
      </c>
      <c r="E139" s="9" t="s">
        <v>300</v>
      </c>
      <c r="F139" s="12">
        <v>10</v>
      </c>
      <c r="G139" s="10" t="s">
        <v>299</v>
      </c>
      <c r="H139" s="9" t="s">
        <v>301</v>
      </c>
      <c r="I139" s="12" t="s">
        <v>283</v>
      </c>
      <c r="J139" s="9" t="s">
        <v>300</v>
      </c>
      <c r="K139" s="12">
        <v>20</v>
      </c>
      <c r="L139" s="12">
        <v>10</v>
      </c>
      <c r="M139" s="16">
        <v>20</v>
      </c>
    </row>
    <row r="140" spans="1:13" ht="16.5" customHeight="1">
      <c r="A140" s="1">
        <v>3369</v>
      </c>
      <c r="B140" s="10" t="s">
        <v>140</v>
      </c>
      <c r="C140" s="10" t="s">
        <v>3</v>
      </c>
      <c r="D140" s="2">
        <v>45486</v>
      </c>
      <c r="E140" s="9" t="s">
        <v>301</v>
      </c>
      <c r="F140" s="12">
        <v>5</v>
      </c>
      <c r="G140" s="10" t="s">
        <v>298</v>
      </c>
      <c r="H140" s="9" t="s">
        <v>301</v>
      </c>
      <c r="I140" s="12" t="s">
        <v>283</v>
      </c>
      <c r="J140" s="9" t="s">
        <v>301</v>
      </c>
      <c r="K140" s="12">
        <v>0</v>
      </c>
      <c r="L140" s="12">
        <v>1</v>
      </c>
      <c r="M140" s="16">
        <v>4</v>
      </c>
    </row>
    <row r="141" spans="1:13" ht="16.5" customHeight="1">
      <c r="A141" s="5">
        <v>3370</v>
      </c>
      <c r="B141" s="9" t="s">
        <v>141</v>
      </c>
      <c r="C141" s="9" t="s">
        <v>1</v>
      </c>
      <c r="D141" s="6">
        <v>45487</v>
      </c>
      <c r="E141" s="9" t="s">
        <v>300</v>
      </c>
      <c r="F141" s="13">
        <v>15</v>
      </c>
      <c r="G141" s="9" t="s">
        <v>297</v>
      </c>
      <c r="H141" s="9" t="s">
        <v>300</v>
      </c>
      <c r="I141" s="13">
        <v>30</v>
      </c>
      <c r="J141" s="9" t="s">
        <v>300</v>
      </c>
      <c r="K141" s="13">
        <v>20</v>
      </c>
      <c r="L141" s="13">
        <v>15</v>
      </c>
      <c r="M141" s="15">
        <v>50</v>
      </c>
    </row>
    <row r="142" spans="1:13" ht="16.5" customHeight="1">
      <c r="A142" s="1">
        <v>3371</v>
      </c>
      <c r="B142" s="10" t="s">
        <v>142</v>
      </c>
      <c r="C142" s="10" t="s">
        <v>5</v>
      </c>
      <c r="D142" s="2">
        <v>45488</v>
      </c>
      <c r="E142" s="9" t="s">
        <v>301</v>
      </c>
      <c r="F142" s="12">
        <v>10</v>
      </c>
      <c r="G142" s="10" t="s">
        <v>297</v>
      </c>
      <c r="H142" s="9" t="s">
        <v>301</v>
      </c>
      <c r="I142" s="12" t="s">
        <v>283</v>
      </c>
      <c r="J142" s="9" t="s">
        <v>300</v>
      </c>
      <c r="K142" s="12">
        <v>20</v>
      </c>
      <c r="L142" s="12">
        <v>5</v>
      </c>
      <c r="M142" s="16">
        <v>25</v>
      </c>
    </row>
    <row r="143" spans="1:13" ht="16.5" customHeight="1">
      <c r="A143" s="1">
        <v>3372</v>
      </c>
      <c r="B143" s="10" t="s">
        <v>143</v>
      </c>
      <c r="C143" s="10" t="s">
        <v>3</v>
      </c>
      <c r="D143" s="2">
        <v>45489</v>
      </c>
      <c r="E143" s="9" t="s">
        <v>300</v>
      </c>
      <c r="F143" s="12">
        <v>5</v>
      </c>
      <c r="G143" s="10" t="s">
        <v>299</v>
      </c>
      <c r="H143" s="9" t="s">
        <v>301</v>
      </c>
      <c r="I143" s="12" t="s">
        <v>283</v>
      </c>
      <c r="J143" s="9" t="s">
        <v>301</v>
      </c>
      <c r="K143" s="12">
        <v>0</v>
      </c>
      <c r="L143" s="12">
        <v>0</v>
      </c>
      <c r="M143" s="16">
        <v>5</v>
      </c>
    </row>
    <row r="144" spans="1:13" ht="16.5" customHeight="1">
      <c r="A144" s="5">
        <v>3373</v>
      </c>
      <c r="B144" s="9" t="s">
        <v>144</v>
      </c>
      <c r="C144" s="9" t="s">
        <v>1</v>
      </c>
      <c r="D144" s="6">
        <v>45490</v>
      </c>
      <c r="E144" s="9" t="s">
        <v>301</v>
      </c>
      <c r="F144" s="13">
        <v>15</v>
      </c>
      <c r="G144" s="9" t="s">
        <v>298</v>
      </c>
      <c r="H144" s="9" t="s">
        <v>300</v>
      </c>
      <c r="I144" s="13">
        <v>30</v>
      </c>
      <c r="J144" s="9" t="s">
        <v>300</v>
      </c>
      <c r="K144" s="13">
        <v>20</v>
      </c>
      <c r="L144" s="13">
        <v>20</v>
      </c>
      <c r="M144" s="15">
        <v>45</v>
      </c>
    </row>
    <row r="145" spans="1:13" ht="16.5" customHeight="1">
      <c r="A145" s="1">
        <v>3374</v>
      </c>
      <c r="B145" s="10" t="s">
        <v>145</v>
      </c>
      <c r="C145" s="10" t="s">
        <v>5</v>
      </c>
      <c r="D145" s="2">
        <v>45491</v>
      </c>
      <c r="E145" s="9" t="s">
        <v>300</v>
      </c>
      <c r="F145" s="12">
        <v>10</v>
      </c>
      <c r="G145" s="10" t="s">
        <v>298</v>
      </c>
      <c r="H145" s="9" t="s">
        <v>301</v>
      </c>
      <c r="I145" s="12" t="s">
        <v>283</v>
      </c>
      <c r="J145" s="9" t="s">
        <v>300</v>
      </c>
      <c r="K145" s="12">
        <v>20</v>
      </c>
      <c r="L145" s="12">
        <v>12</v>
      </c>
      <c r="M145" s="16">
        <v>18</v>
      </c>
    </row>
    <row r="146" spans="1:13" ht="16.5" customHeight="1">
      <c r="A146" s="1">
        <v>3375</v>
      </c>
      <c r="B146" s="10" t="s">
        <v>146</v>
      </c>
      <c r="C146" s="10" t="s">
        <v>3</v>
      </c>
      <c r="D146" s="2">
        <v>45492</v>
      </c>
      <c r="E146" s="9" t="s">
        <v>301</v>
      </c>
      <c r="F146" s="12">
        <v>5</v>
      </c>
      <c r="G146" s="10" t="s">
        <v>297</v>
      </c>
      <c r="H146" s="9" t="s">
        <v>301</v>
      </c>
      <c r="I146" s="12" t="s">
        <v>283</v>
      </c>
      <c r="J146" s="9" t="s">
        <v>301</v>
      </c>
      <c r="K146" s="12">
        <v>0</v>
      </c>
      <c r="L146" s="12">
        <v>2</v>
      </c>
      <c r="M146" s="16">
        <v>3</v>
      </c>
    </row>
    <row r="147" spans="1:13" ht="16.5" customHeight="1">
      <c r="A147" s="5">
        <v>3376</v>
      </c>
      <c r="B147" s="9" t="s">
        <v>147</v>
      </c>
      <c r="C147" s="9" t="s">
        <v>1</v>
      </c>
      <c r="D147" s="6">
        <v>45493</v>
      </c>
      <c r="E147" s="9" t="s">
        <v>300</v>
      </c>
      <c r="F147" s="13">
        <v>15</v>
      </c>
      <c r="G147" s="9" t="s">
        <v>299</v>
      </c>
      <c r="H147" s="9" t="s">
        <v>300</v>
      </c>
      <c r="I147" s="13">
        <v>30</v>
      </c>
      <c r="J147" s="9" t="s">
        <v>300</v>
      </c>
      <c r="K147" s="13">
        <v>20</v>
      </c>
      <c r="L147" s="13">
        <v>5</v>
      </c>
      <c r="M147" s="15">
        <v>60</v>
      </c>
    </row>
    <row r="148" spans="1:13" ht="16.5" customHeight="1">
      <c r="A148" s="1">
        <v>3377</v>
      </c>
      <c r="B148" s="10" t="s">
        <v>148</v>
      </c>
      <c r="C148" s="10" t="s">
        <v>5</v>
      </c>
      <c r="D148" s="2">
        <v>45494</v>
      </c>
      <c r="E148" s="9" t="s">
        <v>301</v>
      </c>
      <c r="F148" s="12">
        <v>10</v>
      </c>
      <c r="G148" s="10" t="s">
        <v>297</v>
      </c>
      <c r="H148" s="9" t="s">
        <v>301</v>
      </c>
      <c r="I148" s="12" t="s">
        <v>283</v>
      </c>
      <c r="J148" s="9" t="s">
        <v>300</v>
      </c>
      <c r="K148" s="12">
        <v>20</v>
      </c>
      <c r="L148" s="12">
        <v>10</v>
      </c>
      <c r="M148" s="16">
        <v>20</v>
      </c>
    </row>
    <row r="149" spans="1:13" ht="16.5" customHeight="1">
      <c r="A149" s="1">
        <v>3378</v>
      </c>
      <c r="B149" s="10" t="s">
        <v>149</v>
      </c>
      <c r="C149" s="10" t="s">
        <v>3</v>
      </c>
      <c r="D149" s="2">
        <v>45495</v>
      </c>
      <c r="E149" s="9" t="s">
        <v>300</v>
      </c>
      <c r="F149" s="12">
        <v>5</v>
      </c>
      <c r="G149" s="10" t="s">
        <v>298</v>
      </c>
      <c r="H149" s="9" t="s">
        <v>301</v>
      </c>
      <c r="I149" s="12" t="s">
        <v>283</v>
      </c>
      <c r="J149" s="9" t="s">
        <v>301</v>
      </c>
      <c r="K149" s="12">
        <v>0</v>
      </c>
      <c r="L149" s="12">
        <v>0</v>
      </c>
      <c r="M149" s="16">
        <v>5</v>
      </c>
    </row>
    <row r="150" spans="1:13" ht="16.5" customHeight="1">
      <c r="A150" s="5">
        <v>3379</v>
      </c>
      <c r="B150" s="9" t="s">
        <v>150</v>
      </c>
      <c r="C150" s="9" t="s">
        <v>1</v>
      </c>
      <c r="D150" s="6">
        <v>45496</v>
      </c>
      <c r="E150" s="9" t="s">
        <v>301</v>
      </c>
      <c r="F150" s="13">
        <v>15</v>
      </c>
      <c r="G150" s="9" t="s">
        <v>297</v>
      </c>
      <c r="H150" s="9" t="s">
        <v>300</v>
      </c>
      <c r="I150" s="13">
        <v>30</v>
      </c>
      <c r="J150" s="9" t="s">
        <v>300</v>
      </c>
      <c r="K150" s="13">
        <v>20</v>
      </c>
      <c r="L150" s="13">
        <v>3</v>
      </c>
      <c r="M150" s="15">
        <v>62</v>
      </c>
    </row>
    <row r="151" spans="1:13" ht="16.5" customHeight="1">
      <c r="A151" s="1">
        <v>3380</v>
      </c>
      <c r="B151" s="10" t="s">
        <v>151</v>
      </c>
      <c r="C151" s="10" t="s">
        <v>5</v>
      </c>
      <c r="D151" s="2">
        <v>45497</v>
      </c>
      <c r="E151" s="9" t="s">
        <v>300</v>
      </c>
      <c r="F151" s="12">
        <v>10</v>
      </c>
      <c r="G151" s="10" t="s">
        <v>299</v>
      </c>
      <c r="H151" s="9" t="s">
        <v>301</v>
      </c>
      <c r="I151" s="12" t="s">
        <v>283</v>
      </c>
      <c r="J151" s="9" t="s">
        <v>300</v>
      </c>
      <c r="K151" s="12">
        <v>20</v>
      </c>
      <c r="L151" s="12">
        <v>15</v>
      </c>
      <c r="M151" s="16">
        <v>15</v>
      </c>
    </row>
    <row r="152" spans="1:13" ht="16.5" customHeight="1">
      <c r="A152" s="1">
        <v>3381</v>
      </c>
      <c r="B152" s="10" t="s">
        <v>152</v>
      </c>
      <c r="C152" s="10" t="s">
        <v>3</v>
      </c>
      <c r="D152" s="2">
        <v>45498</v>
      </c>
      <c r="E152" s="9" t="s">
        <v>301</v>
      </c>
      <c r="F152" s="12">
        <v>5</v>
      </c>
      <c r="G152" s="10" t="s">
        <v>297</v>
      </c>
      <c r="H152" s="9" t="s">
        <v>301</v>
      </c>
      <c r="I152" s="12" t="s">
        <v>283</v>
      </c>
      <c r="J152" s="9" t="s">
        <v>301</v>
      </c>
      <c r="K152" s="12">
        <v>0</v>
      </c>
      <c r="L152" s="12">
        <v>1</v>
      </c>
      <c r="M152" s="16">
        <v>4</v>
      </c>
    </row>
    <row r="153" spans="1:13" ht="16.5" customHeight="1">
      <c r="A153" s="5">
        <v>3382</v>
      </c>
      <c r="B153" s="9" t="s">
        <v>153</v>
      </c>
      <c r="C153" s="9" t="s">
        <v>1</v>
      </c>
      <c r="D153" s="6">
        <v>45499</v>
      </c>
      <c r="E153" s="9" t="s">
        <v>300</v>
      </c>
      <c r="F153" s="13">
        <v>15</v>
      </c>
      <c r="G153" s="9" t="s">
        <v>298</v>
      </c>
      <c r="H153" s="9" t="s">
        <v>300</v>
      </c>
      <c r="I153" s="13">
        <v>30</v>
      </c>
      <c r="J153" s="9" t="s">
        <v>300</v>
      </c>
      <c r="K153" s="13">
        <v>20</v>
      </c>
      <c r="L153" s="13">
        <v>7</v>
      </c>
      <c r="M153" s="15">
        <v>58</v>
      </c>
    </row>
    <row r="154" spans="1:13" ht="16.5" customHeight="1">
      <c r="A154" s="1">
        <v>3383</v>
      </c>
      <c r="B154" s="10" t="s">
        <v>154</v>
      </c>
      <c r="C154" s="10" t="s">
        <v>5</v>
      </c>
      <c r="D154" s="2">
        <v>45500</v>
      </c>
      <c r="E154" s="9" t="s">
        <v>301</v>
      </c>
      <c r="F154" s="12">
        <v>10</v>
      </c>
      <c r="G154" s="10" t="s">
        <v>297</v>
      </c>
      <c r="H154" s="9" t="s">
        <v>301</v>
      </c>
      <c r="I154" s="12" t="s">
        <v>283</v>
      </c>
      <c r="J154" s="9" t="s">
        <v>300</v>
      </c>
      <c r="K154" s="12">
        <v>20</v>
      </c>
      <c r="L154" s="12">
        <v>10</v>
      </c>
      <c r="M154" s="16">
        <v>20</v>
      </c>
    </row>
    <row r="155" spans="1:13" ht="16.5" customHeight="1">
      <c r="A155" s="1">
        <v>3384</v>
      </c>
      <c r="B155" s="10" t="s">
        <v>155</v>
      </c>
      <c r="C155" s="10" t="s">
        <v>3</v>
      </c>
      <c r="D155" s="2">
        <v>45501</v>
      </c>
      <c r="E155" s="9" t="s">
        <v>300</v>
      </c>
      <c r="F155" s="12">
        <v>5</v>
      </c>
      <c r="G155" s="10" t="s">
        <v>299</v>
      </c>
      <c r="H155" s="9" t="s">
        <v>301</v>
      </c>
      <c r="I155" s="12" t="s">
        <v>283</v>
      </c>
      <c r="J155" s="9" t="s">
        <v>301</v>
      </c>
      <c r="K155" s="12">
        <v>0</v>
      </c>
      <c r="L155" s="12">
        <v>0</v>
      </c>
      <c r="M155" s="16">
        <v>5</v>
      </c>
    </row>
    <row r="156" spans="1:13" ht="16.5" customHeight="1">
      <c r="A156" s="5">
        <v>3385</v>
      </c>
      <c r="B156" s="9" t="s">
        <v>156</v>
      </c>
      <c r="C156" s="9" t="s">
        <v>1</v>
      </c>
      <c r="D156" s="6">
        <v>45502</v>
      </c>
      <c r="E156" s="9" t="s">
        <v>301</v>
      </c>
      <c r="F156" s="13">
        <v>15</v>
      </c>
      <c r="G156" s="9" t="s">
        <v>297</v>
      </c>
      <c r="H156" s="9" t="s">
        <v>300</v>
      </c>
      <c r="I156" s="13">
        <v>30</v>
      </c>
      <c r="J156" s="9" t="s">
        <v>300</v>
      </c>
      <c r="K156" s="13">
        <v>20</v>
      </c>
      <c r="L156" s="13">
        <v>20</v>
      </c>
      <c r="M156" s="15">
        <v>45</v>
      </c>
    </row>
    <row r="157" spans="1:13" ht="16.5" customHeight="1">
      <c r="A157" s="1">
        <v>3386</v>
      </c>
      <c r="B157" s="10" t="s">
        <v>157</v>
      </c>
      <c r="C157" s="10" t="s">
        <v>5</v>
      </c>
      <c r="D157" s="2">
        <v>45503</v>
      </c>
      <c r="E157" s="9" t="s">
        <v>300</v>
      </c>
      <c r="F157" s="12">
        <v>10</v>
      </c>
      <c r="G157" s="10" t="s">
        <v>298</v>
      </c>
      <c r="H157" s="9" t="s">
        <v>301</v>
      </c>
      <c r="I157" s="12" t="s">
        <v>283</v>
      </c>
      <c r="J157" s="9" t="s">
        <v>300</v>
      </c>
      <c r="K157" s="12">
        <v>20</v>
      </c>
      <c r="L157" s="12">
        <v>15</v>
      </c>
      <c r="M157" s="16">
        <v>15</v>
      </c>
    </row>
    <row r="158" spans="1:13" ht="16.5" customHeight="1">
      <c r="A158" s="1">
        <v>3387</v>
      </c>
      <c r="B158" s="10" t="s">
        <v>158</v>
      </c>
      <c r="C158" s="10" t="s">
        <v>3</v>
      </c>
      <c r="D158" s="2">
        <v>45504</v>
      </c>
      <c r="E158" s="9" t="s">
        <v>301</v>
      </c>
      <c r="F158" s="12">
        <v>5</v>
      </c>
      <c r="G158" s="10" t="s">
        <v>297</v>
      </c>
      <c r="H158" s="9" t="s">
        <v>301</v>
      </c>
      <c r="I158" s="12" t="s">
        <v>283</v>
      </c>
      <c r="J158" s="9" t="s">
        <v>301</v>
      </c>
      <c r="K158" s="12">
        <v>0</v>
      </c>
      <c r="L158" s="12">
        <v>1</v>
      </c>
      <c r="M158" s="16">
        <v>4</v>
      </c>
    </row>
    <row r="159" spans="1:13" ht="16.5" customHeight="1">
      <c r="A159" s="5">
        <v>3388</v>
      </c>
      <c r="B159" s="9" t="s">
        <v>159</v>
      </c>
      <c r="C159" s="9" t="s">
        <v>1</v>
      </c>
      <c r="D159" s="6">
        <v>45505</v>
      </c>
      <c r="E159" s="9" t="s">
        <v>300</v>
      </c>
      <c r="F159" s="13">
        <v>15</v>
      </c>
      <c r="G159" s="9" t="s">
        <v>299</v>
      </c>
      <c r="H159" s="9" t="s">
        <v>300</v>
      </c>
      <c r="I159" s="13">
        <v>30</v>
      </c>
      <c r="J159" s="9" t="s">
        <v>300</v>
      </c>
      <c r="K159" s="13">
        <v>20</v>
      </c>
      <c r="L159" s="13">
        <v>3</v>
      </c>
      <c r="M159" s="15">
        <v>62</v>
      </c>
    </row>
    <row r="160" spans="1:13" ht="16.5" customHeight="1">
      <c r="A160" s="1">
        <v>3389</v>
      </c>
      <c r="B160" s="10" t="s">
        <v>160</v>
      </c>
      <c r="C160" s="10" t="s">
        <v>5</v>
      </c>
      <c r="D160" s="2">
        <v>45506</v>
      </c>
      <c r="E160" s="9" t="s">
        <v>301</v>
      </c>
      <c r="F160" s="12">
        <v>10</v>
      </c>
      <c r="G160" s="10" t="s">
        <v>297</v>
      </c>
      <c r="H160" s="9" t="s">
        <v>301</v>
      </c>
      <c r="I160" s="12" t="s">
        <v>283</v>
      </c>
      <c r="J160" s="9" t="s">
        <v>300</v>
      </c>
      <c r="K160" s="12">
        <v>20</v>
      </c>
      <c r="L160" s="12">
        <v>10</v>
      </c>
      <c r="M160" s="16">
        <v>20</v>
      </c>
    </row>
    <row r="161" spans="1:13" ht="16.5" customHeight="1">
      <c r="A161" s="1">
        <v>3390</v>
      </c>
      <c r="B161" s="10" t="s">
        <v>161</v>
      </c>
      <c r="C161" s="10" t="s">
        <v>3</v>
      </c>
      <c r="D161" s="2">
        <v>45507</v>
      </c>
      <c r="E161" s="9" t="s">
        <v>300</v>
      </c>
      <c r="F161" s="12">
        <v>5</v>
      </c>
      <c r="G161" s="10" t="s">
        <v>298</v>
      </c>
      <c r="H161" s="9" t="s">
        <v>301</v>
      </c>
      <c r="I161" s="12" t="s">
        <v>283</v>
      </c>
      <c r="J161" s="9" t="s">
        <v>301</v>
      </c>
      <c r="K161" s="12">
        <v>0</v>
      </c>
      <c r="L161" s="12">
        <v>0</v>
      </c>
      <c r="M161" s="16">
        <v>5</v>
      </c>
    </row>
    <row r="162" spans="1:13" ht="16.5" customHeight="1">
      <c r="A162" s="5">
        <v>3391</v>
      </c>
      <c r="B162" s="9" t="s">
        <v>61</v>
      </c>
      <c r="C162" s="9" t="s">
        <v>1</v>
      </c>
      <c r="D162" s="6">
        <v>45508</v>
      </c>
      <c r="E162" s="9" t="s">
        <v>301</v>
      </c>
      <c r="F162" s="13">
        <v>15</v>
      </c>
      <c r="G162" s="9" t="s">
        <v>297</v>
      </c>
      <c r="H162" s="9" t="s">
        <v>300</v>
      </c>
      <c r="I162" s="13">
        <v>30</v>
      </c>
      <c r="J162" s="9" t="s">
        <v>300</v>
      </c>
      <c r="K162" s="13">
        <v>20</v>
      </c>
      <c r="L162" s="13">
        <v>15</v>
      </c>
      <c r="M162" s="15">
        <v>50</v>
      </c>
    </row>
    <row r="163" spans="1:13" ht="16.5" customHeight="1">
      <c r="A163" s="1">
        <v>3392</v>
      </c>
      <c r="B163" s="10" t="s">
        <v>162</v>
      </c>
      <c r="C163" s="10" t="s">
        <v>5</v>
      </c>
      <c r="D163" s="2">
        <v>45509</v>
      </c>
      <c r="E163" s="9" t="s">
        <v>300</v>
      </c>
      <c r="F163" s="12">
        <v>10</v>
      </c>
      <c r="G163" s="10" t="s">
        <v>299</v>
      </c>
      <c r="H163" s="9" t="s">
        <v>301</v>
      </c>
      <c r="I163" s="12" t="s">
        <v>283</v>
      </c>
      <c r="J163" s="9" t="s">
        <v>300</v>
      </c>
      <c r="K163" s="12">
        <v>20</v>
      </c>
      <c r="L163" s="12">
        <v>15</v>
      </c>
      <c r="M163" s="16">
        <v>15</v>
      </c>
    </row>
    <row r="164" spans="1:13" ht="16.5" customHeight="1">
      <c r="A164" s="1">
        <v>3393</v>
      </c>
      <c r="B164" s="10" t="s">
        <v>163</v>
      </c>
      <c r="C164" s="10" t="s">
        <v>3</v>
      </c>
      <c r="D164" s="2">
        <v>45510</v>
      </c>
      <c r="E164" s="9" t="s">
        <v>301</v>
      </c>
      <c r="F164" s="12">
        <v>5</v>
      </c>
      <c r="G164" s="10" t="s">
        <v>297</v>
      </c>
      <c r="H164" s="9" t="s">
        <v>301</v>
      </c>
      <c r="I164" s="12" t="s">
        <v>283</v>
      </c>
      <c r="J164" s="9" t="s">
        <v>301</v>
      </c>
      <c r="K164" s="12">
        <v>0</v>
      </c>
      <c r="L164" s="12">
        <v>1</v>
      </c>
      <c r="M164" s="16">
        <v>4</v>
      </c>
    </row>
    <row r="165" spans="1:13" ht="16.5" customHeight="1">
      <c r="A165" s="5">
        <v>3394</v>
      </c>
      <c r="B165" s="9" t="s">
        <v>164</v>
      </c>
      <c r="C165" s="9" t="s">
        <v>1</v>
      </c>
      <c r="D165" s="6">
        <v>45511</v>
      </c>
      <c r="E165" s="9" t="s">
        <v>300</v>
      </c>
      <c r="F165" s="13">
        <v>15</v>
      </c>
      <c r="G165" s="9" t="s">
        <v>298</v>
      </c>
      <c r="H165" s="9" t="s">
        <v>300</v>
      </c>
      <c r="I165" s="13">
        <v>30</v>
      </c>
      <c r="J165" s="9" t="s">
        <v>300</v>
      </c>
      <c r="K165" s="13">
        <v>20</v>
      </c>
      <c r="L165" s="13">
        <v>7</v>
      </c>
      <c r="M165" s="15">
        <v>58</v>
      </c>
    </row>
    <row r="166" spans="1:13" ht="16.5" customHeight="1">
      <c r="A166" s="1">
        <v>3395</v>
      </c>
      <c r="B166" s="10" t="s">
        <v>165</v>
      </c>
      <c r="C166" s="10" t="s">
        <v>5</v>
      </c>
      <c r="D166" s="2">
        <v>45512</v>
      </c>
      <c r="E166" s="9" t="s">
        <v>301</v>
      </c>
      <c r="F166" s="12">
        <v>10</v>
      </c>
      <c r="G166" s="10" t="s">
        <v>297</v>
      </c>
      <c r="H166" s="9" t="s">
        <v>301</v>
      </c>
      <c r="I166" s="12" t="s">
        <v>283</v>
      </c>
      <c r="J166" s="9" t="s">
        <v>300</v>
      </c>
      <c r="K166" s="12">
        <v>20</v>
      </c>
      <c r="L166" s="12">
        <v>10</v>
      </c>
      <c r="M166" s="16">
        <v>20</v>
      </c>
    </row>
    <row r="167" spans="1:13" ht="16.5" customHeight="1">
      <c r="A167" s="1">
        <v>3396</v>
      </c>
      <c r="B167" s="10" t="s">
        <v>166</v>
      </c>
      <c r="C167" s="10" t="s">
        <v>3</v>
      </c>
      <c r="D167" s="2">
        <v>45513</v>
      </c>
      <c r="E167" s="9" t="s">
        <v>300</v>
      </c>
      <c r="F167" s="12">
        <v>5</v>
      </c>
      <c r="G167" s="10" t="s">
        <v>299</v>
      </c>
      <c r="H167" s="9" t="s">
        <v>301</v>
      </c>
      <c r="I167" s="12" t="s">
        <v>283</v>
      </c>
      <c r="J167" s="9" t="s">
        <v>301</v>
      </c>
      <c r="K167" s="12">
        <v>0</v>
      </c>
      <c r="L167" s="12">
        <v>0</v>
      </c>
      <c r="M167" s="16">
        <v>5</v>
      </c>
    </row>
    <row r="168" spans="1:13" ht="16.5" customHeight="1">
      <c r="A168" s="5">
        <v>3397</v>
      </c>
      <c r="B168" s="9" t="s">
        <v>93</v>
      </c>
      <c r="C168" s="9" t="s">
        <v>1</v>
      </c>
      <c r="D168" s="6">
        <v>45514</v>
      </c>
      <c r="E168" s="9" t="s">
        <v>301</v>
      </c>
      <c r="F168" s="13">
        <v>15</v>
      </c>
      <c r="G168" s="9" t="s">
        <v>297</v>
      </c>
      <c r="H168" s="9" t="s">
        <v>300</v>
      </c>
      <c r="I168" s="13">
        <v>30</v>
      </c>
      <c r="J168" s="9" t="s">
        <v>300</v>
      </c>
      <c r="K168" s="13">
        <v>20</v>
      </c>
      <c r="L168" s="13">
        <v>20</v>
      </c>
      <c r="M168" s="15">
        <v>45</v>
      </c>
    </row>
    <row r="169" spans="1:13" ht="16.5" customHeight="1">
      <c r="A169" s="1">
        <v>3398</v>
      </c>
      <c r="B169" s="10" t="s">
        <v>167</v>
      </c>
      <c r="C169" s="10" t="s">
        <v>5</v>
      </c>
      <c r="D169" s="2">
        <v>45515</v>
      </c>
      <c r="E169" s="9" t="s">
        <v>300</v>
      </c>
      <c r="F169" s="12">
        <v>10</v>
      </c>
      <c r="G169" s="10" t="s">
        <v>298</v>
      </c>
      <c r="H169" s="9" t="s">
        <v>301</v>
      </c>
      <c r="I169" s="12" t="s">
        <v>283</v>
      </c>
      <c r="J169" s="9" t="s">
        <v>300</v>
      </c>
      <c r="K169" s="12">
        <v>20</v>
      </c>
      <c r="L169" s="12">
        <v>15</v>
      </c>
      <c r="M169" s="16">
        <v>15</v>
      </c>
    </row>
    <row r="170" spans="1:13" ht="16.5" customHeight="1">
      <c r="A170" s="1">
        <v>3399</v>
      </c>
      <c r="B170" s="10" t="s">
        <v>168</v>
      </c>
      <c r="C170" s="10" t="s">
        <v>3</v>
      </c>
      <c r="D170" s="2">
        <v>45516</v>
      </c>
      <c r="E170" s="9" t="s">
        <v>301</v>
      </c>
      <c r="F170" s="12">
        <v>5</v>
      </c>
      <c r="G170" s="10" t="s">
        <v>297</v>
      </c>
      <c r="H170" s="9" t="s">
        <v>301</v>
      </c>
      <c r="I170" s="12" t="s">
        <v>283</v>
      </c>
      <c r="J170" s="9" t="s">
        <v>301</v>
      </c>
      <c r="K170" s="12">
        <v>0</v>
      </c>
      <c r="L170" s="12">
        <v>1</v>
      </c>
      <c r="M170" s="16">
        <v>4</v>
      </c>
    </row>
    <row r="171" spans="1:13" ht="16.5" customHeight="1">
      <c r="A171" s="5">
        <v>3400</v>
      </c>
      <c r="B171" s="9" t="s">
        <v>169</v>
      </c>
      <c r="C171" s="9" t="s">
        <v>1</v>
      </c>
      <c r="D171" s="6">
        <v>45517</v>
      </c>
      <c r="E171" s="9" t="s">
        <v>300</v>
      </c>
      <c r="F171" s="13">
        <v>15</v>
      </c>
      <c r="G171" s="9" t="s">
        <v>299</v>
      </c>
      <c r="H171" s="9" t="s">
        <v>300</v>
      </c>
      <c r="I171" s="13">
        <v>30</v>
      </c>
      <c r="J171" s="9" t="s">
        <v>300</v>
      </c>
      <c r="K171" s="13">
        <v>20</v>
      </c>
      <c r="L171" s="13">
        <v>5</v>
      </c>
      <c r="M171" s="15">
        <v>60</v>
      </c>
    </row>
    <row r="172" spans="1:13" ht="16.5" customHeight="1">
      <c r="A172" s="1">
        <v>3401</v>
      </c>
      <c r="B172" s="10" t="s">
        <v>170</v>
      </c>
      <c r="C172" s="10" t="s">
        <v>5</v>
      </c>
      <c r="D172" s="2">
        <v>45518</v>
      </c>
      <c r="E172" s="9" t="s">
        <v>301</v>
      </c>
      <c r="F172" s="12">
        <v>10</v>
      </c>
      <c r="G172" s="10" t="s">
        <v>297</v>
      </c>
      <c r="H172" s="9" t="s">
        <v>301</v>
      </c>
      <c r="I172" s="12" t="s">
        <v>283</v>
      </c>
      <c r="J172" s="9" t="s">
        <v>300</v>
      </c>
      <c r="K172" s="12">
        <v>20</v>
      </c>
      <c r="L172" s="12">
        <v>10</v>
      </c>
      <c r="M172" s="16">
        <v>20</v>
      </c>
    </row>
    <row r="173" spans="1:13" ht="16.5" customHeight="1">
      <c r="A173" s="1">
        <v>3402</v>
      </c>
      <c r="B173" s="10" t="s">
        <v>171</v>
      </c>
      <c r="C173" s="10" t="s">
        <v>3</v>
      </c>
      <c r="D173" s="2">
        <v>45519</v>
      </c>
      <c r="E173" s="9" t="s">
        <v>300</v>
      </c>
      <c r="F173" s="12">
        <v>5</v>
      </c>
      <c r="G173" s="10" t="s">
        <v>298</v>
      </c>
      <c r="H173" s="9" t="s">
        <v>301</v>
      </c>
      <c r="I173" s="12" t="s">
        <v>283</v>
      </c>
      <c r="J173" s="9" t="s">
        <v>301</v>
      </c>
      <c r="K173" s="12">
        <v>0</v>
      </c>
      <c r="L173" s="12">
        <v>0</v>
      </c>
      <c r="M173" s="16">
        <v>5</v>
      </c>
    </row>
    <row r="174" spans="1:13" ht="16.5" customHeight="1">
      <c r="A174" s="5">
        <v>3403</v>
      </c>
      <c r="B174" s="9" t="s">
        <v>172</v>
      </c>
      <c r="C174" s="9" t="s">
        <v>1</v>
      </c>
      <c r="D174" s="6">
        <v>45520</v>
      </c>
      <c r="E174" s="9" t="s">
        <v>301</v>
      </c>
      <c r="F174" s="13">
        <v>15</v>
      </c>
      <c r="G174" s="9" t="s">
        <v>297</v>
      </c>
      <c r="H174" s="9" t="s">
        <v>300</v>
      </c>
      <c r="I174" s="13">
        <v>30</v>
      </c>
      <c r="J174" s="9" t="s">
        <v>300</v>
      </c>
      <c r="K174" s="13">
        <v>20</v>
      </c>
      <c r="L174" s="13">
        <v>3</v>
      </c>
      <c r="M174" s="15">
        <v>62</v>
      </c>
    </row>
    <row r="175" spans="1:13" ht="16.5" customHeight="1">
      <c r="A175" s="1">
        <v>3404</v>
      </c>
      <c r="B175" s="10" t="s">
        <v>173</v>
      </c>
      <c r="C175" s="10" t="s">
        <v>5</v>
      </c>
      <c r="D175" s="2">
        <v>45521</v>
      </c>
      <c r="E175" s="9" t="s">
        <v>300</v>
      </c>
      <c r="F175" s="12">
        <v>10</v>
      </c>
      <c r="G175" s="10" t="s">
        <v>299</v>
      </c>
      <c r="H175" s="9" t="s">
        <v>301</v>
      </c>
      <c r="I175" s="12" t="s">
        <v>283</v>
      </c>
      <c r="J175" s="9" t="s">
        <v>300</v>
      </c>
      <c r="K175" s="12">
        <v>20</v>
      </c>
      <c r="L175" s="12">
        <v>15</v>
      </c>
      <c r="M175" s="16">
        <v>15</v>
      </c>
    </row>
    <row r="176" spans="1:13" ht="16.5" customHeight="1">
      <c r="A176" s="1">
        <v>3405</v>
      </c>
      <c r="B176" s="10" t="s">
        <v>174</v>
      </c>
      <c r="C176" s="10" t="s">
        <v>3</v>
      </c>
      <c r="D176" s="2">
        <v>45522</v>
      </c>
      <c r="E176" s="9" t="s">
        <v>301</v>
      </c>
      <c r="F176" s="12">
        <v>5</v>
      </c>
      <c r="G176" s="10" t="s">
        <v>297</v>
      </c>
      <c r="H176" s="9" t="s">
        <v>301</v>
      </c>
      <c r="I176" s="12" t="s">
        <v>283</v>
      </c>
      <c r="J176" s="9" t="s">
        <v>301</v>
      </c>
      <c r="K176" s="12">
        <v>0</v>
      </c>
      <c r="L176" s="12">
        <v>1</v>
      </c>
      <c r="M176" s="16">
        <v>4</v>
      </c>
    </row>
    <row r="177" spans="1:13" ht="16.5" customHeight="1">
      <c r="A177" s="1">
        <v>3406</v>
      </c>
      <c r="B177" s="10" t="s">
        <v>175</v>
      </c>
      <c r="C177" s="10" t="s">
        <v>3</v>
      </c>
      <c r="D177" s="2">
        <v>45523</v>
      </c>
      <c r="E177" s="9" t="s">
        <v>300</v>
      </c>
      <c r="F177" s="12">
        <v>5</v>
      </c>
      <c r="G177" s="10" t="s">
        <v>297</v>
      </c>
      <c r="H177" s="9" t="s">
        <v>301</v>
      </c>
      <c r="I177" s="12" t="s">
        <v>283</v>
      </c>
      <c r="J177" s="9" t="s">
        <v>301</v>
      </c>
      <c r="K177" s="12">
        <v>0</v>
      </c>
      <c r="L177" s="12">
        <v>0</v>
      </c>
      <c r="M177" s="16">
        <v>5</v>
      </c>
    </row>
    <row r="178" spans="1:13" ht="16.5" customHeight="1">
      <c r="A178" s="5">
        <v>3407</v>
      </c>
      <c r="B178" s="9" t="s">
        <v>176</v>
      </c>
      <c r="C178" s="9" t="s">
        <v>1</v>
      </c>
      <c r="D178" s="6">
        <v>45524</v>
      </c>
      <c r="E178" s="9" t="s">
        <v>301</v>
      </c>
      <c r="F178" s="13">
        <v>15</v>
      </c>
      <c r="G178" s="9" t="s">
        <v>298</v>
      </c>
      <c r="H178" s="9" t="s">
        <v>300</v>
      </c>
      <c r="I178" s="13">
        <v>30</v>
      </c>
      <c r="J178" s="9" t="s">
        <v>300</v>
      </c>
      <c r="K178" s="13">
        <v>20</v>
      </c>
      <c r="L178" s="13">
        <v>7</v>
      </c>
      <c r="M178" s="15">
        <v>58</v>
      </c>
    </row>
    <row r="179" spans="1:13" ht="16.5" customHeight="1">
      <c r="A179" s="1">
        <v>3408</v>
      </c>
      <c r="B179" s="10" t="s">
        <v>177</v>
      </c>
      <c r="C179" s="10" t="s">
        <v>5</v>
      </c>
      <c r="D179" s="2">
        <v>45525</v>
      </c>
      <c r="E179" s="9" t="s">
        <v>300</v>
      </c>
      <c r="F179" s="12">
        <v>10</v>
      </c>
      <c r="G179" s="10" t="s">
        <v>299</v>
      </c>
      <c r="H179" s="9" t="s">
        <v>301</v>
      </c>
      <c r="I179" s="12" t="s">
        <v>283</v>
      </c>
      <c r="J179" s="9" t="s">
        <v>300</v>
      </c>
      <c r="K179" s="12">
        <v>20</v>
      </c>
      <c r="L179" s="12">
        <v>10</v>
      </c>
      <c r="M179" s="16">
        <v>20</v>
      </c>
    </row>
    <row r="180" spans="1:13" ht="16.5" customHeight="1">
      <c r="A180" s="1">
        <v>3409</v>
      </c>
      <c r="B180" s="10" t="s">
        <v>178</v>
      </c>
      <c r="C180" s="10" t="s">
        <v>3</v>
      </c>
      <c r="D180" s="2">
        <v>45526</v>
      </c>
      <c r="E180" s="9" t="s">
        <v>301</v>
      </c>
      <c r="F180" s="12">
        <v>5</v>
      </c>
      <c r="G180" s="10" t="s">
        <v>298</v>
      </c>
      <c r="H180" s="9" t="s">
        <v>301</v>
      </c>
      <c r="I180" s="12" t="s">
        <v>283</v>
      </c>
      <c r="J180" s="9" t="s">
        <v>301</v>
      </c>
      <c r="K180" s="12">
        <v>0</v>
      </c>
      <c r="L180" s="12">
        <v>1</v>
      </c>
      <c r="M180" s="16">
        <v>4</v>
      </c>
    </row>
    <row r="181" spans="1:13" ht="16.5" customHeight="1">
      <c r="A181" s="5">
        <v>3410</v>
      </c>
      <c r="B181" s="9" t="s">
        <v>179</v>
      </c>
      <c r="C181" s="9" t="s">
        <v>1</v>
      </c>
      <c r="D181" s="6">
        <v>45527</v>
      </c>
      <c r="E181" s="9" t="s">
        <v>300</v>
      </c>
      <c r="F181" s="13">
        <v>15</v>
      </c>
      <c r="G181" s="9" t="s">
        <v>297</v>
      </c>
      <c r="H181" s="9" t="s">
        <v>300</v>
      </c>
      <c r="I181" s="13">
        <v>30</v>
      </c>
      <c r="J181" s="9" t="s">
        <v>300</v>
      </c>
      <c r="K181" s="13">
        <v>20</v>
      </c>
      <c r="L181" s="13">
        <v>15</v>
      </c>
      <c r="M181" s="15">
        <v>50</v>
      </c>
    </row>
    <row r="182" spans="1:13" ht="16.5" customHeight="1">
      <c r="A182" s="1">
        <v>3411</v>
      </c>
      <c r="B182" s="10" t="s">
        <v>180</v>
      </c>
      <c r="C182" s="10" t="s">
        <v>5</v>
      </c>
      <c r="D182" s="2">
        <v>45528</v>
      </c>
      <c r="E182" s="9" t="s">
        <v>301</v>
      </c>
      <c r="F182" s="12">
        <v>10</v>
      </c>
      <c r="G182" s="10" t="s">
        <v>297</v>
      </c>
      <c r="H182" s="9" t="s">
        <v>301</v>
      </c>
      <c r="I182" s="12" t="s">
        <v>283</v>
      </c>
      <c r="J182" s="9" t="s">
        <v>300</v>
      </c>
      <c r="K182" s="12">
        <v>20</v>
      </c>
      <c r="L182" s="12">
        <v>5</v>
      </c>
      <c r="M182" s="16">
        <v>25</v>
      </c>
    </row>
    <row r="183" spans="1:13" ht="16.5" customHeight="1">
      <c r="A183" s="1">
        <v>3412</v>
      </c>
      <c r="B183" s="10" t="s">
        <v>181</v>
      </c>
      <c r="C183" s="10" t="s">
        <v>3</v>
      </c>
      <c r="D183" s="2">
        <v>45529</v>
      </c>
      <c r="E183" s="9" t="s">
        <v>300</v>
      </c>
      <c r="F183" s="12">
        <v>5</v>
      </c>
      <c r="G183" s="10" t="s">
        <v>299</v>
      </c>
      <c r="H183" s="9" t="s">
        <v>301</v>
      </c>
      <c r="I183" s="12" t="s">
        <v>283</v>
      </c>
      <c r="J183" s="9" t="s">
        <v>301</v>
      </c>
      <c r="K183" s="12">
        <v>0</v>
      </c>
      <c r="L183" s="12">
        <v>0</v>
      </c>
      <c r="M183" s="16">
        <v>5</v>
      </c>
    </row>
    <row r="184" spans="1:13" ht="16.5" customHeight="1">
      <c r="A184" s="5">
        <v>3413</v>
      </c>
      <c r="B184" s="9" t="s">
        <v>182</v>
      </c>
      <c r="C184" s="9" t="s">
        <v>1</v>
      </c>
      <c r="D184" s="6">
        <v>45530</v>
      </c>
      <c r="E184" s="9" t="s">
        <v>301</v>
      </c>
      <c r="F184" s="13">
        <v>15</v>
      </c>
      <c r="G184" s="9" t="s">
        <v>298</v>
      </c>
      <c r="H184" s="9" t="s">
        <v>300</v>
      </c>
      <c r="I184" s="13">
        <v>30</v>
      </c>
      <c r="J184" s="9" t="s">
        <v>300</v>
      </c>
      <c r="K184" s="13">
        <v>20</v>
      </c>
      <c r="L184" s="13">
        <v>20</v>
      </c>
      <c r="M184" s="15">
        <v>45</v>
      </c>
    </row>
    <row r="185" spans="1:13" ht="16.5" customHeight="1">
      <c r="A185" s="1">
        <v>3414</v>
      </c>
      <c r="B185" s="10" t="s">
        <v>183</v>
      </c>
      <c r="C185" s="10" t="s">
        <v>5</v>
      </c>
      <c r="D185" s="2">
        <v>45531</v>
      </c>
      <c r="E185" s="9" t="s">
        <v>300</v>
      </c>
      <c r="F185" s="12">
        <v>10</v>
      </c>
      <c r="G185" s="10" t="s">
        <v>298</v>
      </c>
      <c r="H185" s="9" t="s">
        <v>301</v>
      </c>
      <c r="I185" s="12" t="s">
        <v>283</v>
      </c>
      <c r="J185" s="9" t="s">
        <v>300</v>
      </c>
      <c r="K185" s="12">
        <v>20</v>
      </c>
      <c r="L185" s="12">
        <v>12</v>
      </c>
      <c r="M185" s="16">
        <v>18</v>
      </c>
    </row>
    <row r="186" spans="1:13" ht="16.5" customHeight="1">
      <c r="A186" s="1">
        <v>3415</v>
      </c>
      <c r="B186" s="10" t="s">
        <v>184</v>
      </c>
      <c r="C186" s="10" t="s">
        <v>3</v>
      </c>
      <c r="D186" s="2">
        <v>45532</v>
      </c>
      <c r="E186" s="9" t="s">
        <v>301</v>
      </c>
      <c r="F186" s="12">
        <v>5</v>
      </c>
      <c r="G186" s="10" t="s">
        <v>297</v>
      </c>
      <c r="H186" s="9" t="s">
        <v>301</v>
      </c>
      <c r="I186" s="12" t="s">
        <v>283</v>
      </c>
      <c r="J186" s="9" t="s">
        <v>301</v>
      </c>
      <c r="K186" s="12">
        <v>0</v>
      </c>
      <c r="L186" s="12">
        <v>2</v>
      </c>
      <c r="M186" s="16">
        <v>3</v>
      </c>
    </row>
    <row r="187" spans="1:13" ht="16.5" customHeight="1">
      <c r="A187" s="5">
        <v>3416</v>
      </c>
      <c r="B187" s="9" t="s">
        <v>185</v>
      </c>
      <c r="C187" s="9" t="s">
        <v>1</v>
      </c>
      <c r="D187" s="6">
        <v>45533</v>
      </c>
      <c r="E187" s="9" t="s">
        <v>300</v>
      </c>
      <c r="F187" s="13">
        <v>15</v>
      </c>
      <c r="G187" s="9" t="s">
        <v>299</v>
      </c>
      <c r="H187" s="9" t="s">
        <v>300</v>
      </c>
      <c r="I187" s="13">
        <v>30</v>
      </c>
      <c r="J187" s="9" t="s">
        <v>300</v>
      </c>
      <c r="K187" s="13">
        <v>20</v>
      </c>
      <c r="L187" s="13">
        <v>5</v>
      </c>
      <c r="M187" s="15">
        <v>60</v>
      </c>
    </row>
    <row r="188" spans="1:13" ht="16.5" customHeight="1">
      <c r="A188" s="1">
        <v>3417</v>
      </c>
      <c r="B188" s="10" t="s">
        <v>186</v>
      </c>
      <c r="C188" s="10" t="s">
        <v>5</v>
      </c>
      <c r="D188" s="2">
        <v>45534</v>
      </c>
      <c r="E188" s="9" t="s">
        <v>301</v>
      </c>
      <c r="F188" s="12">
        <v>10</v>
      </c>
      <c r="G188" s="10" t="s">
        <v>297</v>
      </c>
      <c r="H188" s="9" t="s">
        <v>301</v>
      </c>
      <c r="I188" s="12" t="s">
        <v>283</v>
      </c>
      <c r="J188" s="9" t="s">
        <v>300</v>
      </c>
      <c r="K188" s="12">
        <v>20</v>
      </c>
      <c r="L188" s="12">
        <v>10</v>
      </c>
      <c r="M188" s="16">
        <v>20</v>
      </c>
    </row>
    <row r="189" spans="1:13" ht="16.5" customHeight="1">
      <c r="A189" s="1">
        <v>3418</v>
      </c>
      <c r="B189" s="10" t="s">
        <v>187</v>
      </c>
      <c r="C189" s="10" t="s">
        <v>3</v>
      </c>
      <c r="D189" s="2">
        <v>45535</v>
      </c>
      <c r="E189" s="9" t="s">
        <v>300</v>
      </c>
      <c r="F189" s="12">
        <v>5</v>
      </c>
      <c r="G189" s="10" t="s">
        <v>298</v>
      </c>
      <c r="H189" s="9" t="s">
        <v>301</v>
      </c>
      <c r="I189" s="12" t="s">
        <v>283</v>
      </c>
      <c r="J189" s="9" t="s">
        <v>301</v>
      </c>
      <c r="K189" s="12">
        <v>0</v>
      </c>
      <c r="L189" s="12">
        <v>0</v>
      </c>
      <c r="M189" s="16">
        <v>5</v>
      </c>
    </row>
    <row r="190" spans="1:13" ht="16.5" customHeight="1">
      <c r="A190" s="5">
        <v>3419</v>
      </c>
      <c r="B190" s="9" t="s">
        <v>188</v>
      </c>
      <c r="C190" s="9" t="s">
        <v>1</v>
      </c>
      <c r="D190" s="6">
        <v>45536</v>
      </c>
      <c r="E190" s="9" t="s">
        <v>301</v>
      </c>
      <c r="F190" s="13">
        <v>15</v>
      </c>
      <c r="G190" s="9" t="s">
        <v>297</v>
      </c>
      <c r="H190" s="9" t="s">
        <v>300</v>
      </c>
      <c r="I190" s="13">
        <v>30</v>
      </c>
      <c r="J190" s="9" t="s">
        <v>300</v>
      </c>
      <c r="K190" s="13">
        <v>20</v>
      </c>
      <c r="L190" s="13">
        <v>3</v>
      </c>
      <c r="M190" s="15">
        <v>62</v>
      </c>
    </row>
    <row r="191" spans="1:13" ht="16.5" customHeight="1">
      <c r="A191" s="1">
        <v>3420</v>
      </c>
      <c r="B191" s="10" t="s">
        <v>189</v>
      </c>
      <c r="C191" s="10" t="s">
        <v>5</v>
      </c>
      <c r="D191" s="2">
        <v>45537</v>
      </c>
      <c r="E191" s="9" t="s">
        <v>300</v>
      </c>
      <c r="F191" s="12">
        <v>10</v>
      </c>
      <c r="G191" s="10" t="s">
        <v>299</v>
      </c>
      <c r="H191" s="9" t="s">
        <v>301</v>
      </c>
      <c r="I191" s="12" t="s">
        <v>283</v>
      </c>
      <c r="J191" s="9" t="s">
        <v>300</v>
      </c>
      <c r="K191" s="12">
        <v>20</v>
      </c>
      <c r="L191" s="12">
        <v>15</v>
      </c>
      <c r="M191" s="16">
        <v>15</v>
      </c>
    </row>
    <row r="192" spans="1:13" ht="16.5" customHeight="1">
      <c r="A192" s="1">
        <v>3421</v>
      </c>
      <c r="B192" s="10" t="s">
        <v>18</v>
      </c>
      <c r="C192" s="10" t="s">
        <v>3</v>
      </c>
      <c r="D192" s="2">
        <v>45538</v>
      </c>
      <c r="E192" s="9" t="s">
        <v>301</v>
      </c>
      <c r="F192" s="12">
        <v>5</v>
      </c>
      <c r="G192" s="10" t="s">
        <v>297</v>
      </c>
      <c r="H192" s="9" t="s">
        <v>301</v>
      </c>
      <c r="I192" s="12" t="s">
        <v>283</v>
      </c>
      <c r="J192" s="9" t="s">
        <v>301</v>
      </c>
      <c r="K192" s="12">
        <v>0</v>
      </c>
      <c r="L192" s="12">
        <v>1</v>
      </c>
      <c r="M192" s="16">
        <v>4</v>
      </c>
    </row>
    <row r="193" spans="1:13" ht="16.5" customHeight="1">
      <c r="A193" s="5">
        <v>3422</v>
      </c>
      <c r="B193" s="9" t="s">
        <v>190</v>
      </c>
      <c r="C193" s="9" t="s">
        <v>1</v>
      </c>
      <c r="D193" s="6">
        <v>45539</v>
      </c>
      <c r="E193" s="9" t="s">
        <v>300</v>
      </c>
      <c r="F193" s="13">
        <v>15</v>
      </c>
      <c r="G193" s="9" t="s">
        <v>298</v>
      </c>
      <c r="H193" s="9" t="s">
        <v>300</v>
      </c>
      <c r="I193" s="13">
        <v>30</v>
      </c>
      <c r="J193" s="9" t="s">
        <v>300</v>
      </c>
      <c r="K193" s="13">
        <v>20</v>
      </c>
      <c r="L193" s="13">
        <v>7</v>
      </c>
      <c r="M193" s="15">
        <v>58</v>
      </c>
    </row>
    <row r="194" spans="1:13" ht="16.5" customHeight="1">
      <c r="A194" s="1">
        <v>3423</v>
      </c>
      <c r="B194" s="10" t="s">
        <v>191</v>
      </c>
      <c r="C194" s="10" t="s">
        <v>5</v>
      </c>
      <c r="D194" s="2">
        <v>45540</v>
      </c>
      <c r="E194" s="9" t="s">
        <v>301</v>
      </c>
      <c r="F194" s="12">
        <v>10</v>
      </c>
      <c r="G194" s="10" t="s">
        <v>297</v>
      </c>
      <c r="H194" s="9" t="s">
        <v>301</v>
      </c>
      <c r="I194" s="12" t="s">
        <v>283</v>
      </c>
      <c r="J194" s="9" t="s">
        <v>300</v>
      </c>
      <c r="K194" s="12">
        <v>20</v>
      </c>
      <c r="L194" s="12">
        <v>10</v>
      </c>
      <c r="M194" s="16">
        <v>20</v>
      </c>
    </row>
    <row r="195" spans="1:13" ht="16.5" customHeight="1">
      <c r="A195" s="1">
        <v>3424</v>
      </c>
      <c r="B195" s="10" t="s">
        <v>17</v>
      </c>
      <c r="C195" s="10" t="s">
        <v>3</v>
      </c>
      <c r="D195" s="2">
        <v>45541</v>
      </c>
      <c r="E195" s="9" t="s">
        <v>300</v>
      </c>
      <c r="F195" s="12">
        <v>5</v>
      </c>
      <c r="G195" s="10" t="s">
        <v>299</v>
      </c>
      <c r="H195" s="9" t="s">
        <v>301</v>
      </c>
      <c r="I195" s="12" t="s">
        <v>283</v>
      </c>
      <c r="J195" s="9" t="s">
        <v>301</v>
      </c>
      <c r="K195" s="12">
        <v>0</v>
      </c>
      <c r="L195" s="12">
        <v>0</v>
      </c>
      <c r="M195" s="16">
        <v>5</v>
      </c>
    </row>
    <row r="196" spans="1:13" ht="16.5" customHeight="1">
      <c r="A196" s="5">
        <v>3425</v>
      </c>
      <c r="B196" s="9" t="s">
        <v>192</v>
      </c>
      <c r="C196" s="9" t="s">
        <v>1</v>
      </c>
      <c r="D196" s="6">
        <v>45542</v>
      </c>
      <c r="E196" s="9" t="s">
        <v>301</v>
      </c>
      <c r="F196" s="13">
        <v>15</v>
      </c>
      <c r="G196" s="9" t="s">
        <v>297</v>
      </c>
      <c r="H196" s="9" t="s">
        <v>300</v>
      </c>
      <c r="I196" s="13">
        <v>30</v>
      </c>
      <c r="J196" s="9" t="s">
        <v>300</v>
      </c>
      <c r="K196" s="13">
        <v>20</v>
      </c>
      <c r="L196" s="13">
        <v>20</v>
      </c>
      <c r="M196" s="15">
        <v>45</v>
      </c>
    </row>
    <row r="197" spans="1:13" ht="16.5" customHeight="1">
      <c r="A197" s="1">
        <v>3426</v>
      </c>
      <c r="B197" s="10" t="s">
        <v>170</v>
      </c>
      <c r="C197" s="10" t="s">
        <v>5</v>
      </c>
      <c r="D197" s="2">
        <v>45543</v>
      </c>
      <c r="E197" s="9" t="s">
        <v>300</v>
      </c>
      <c r="F197" s="12">
        <v>10</v>
      </c>
      <c r="G197" s="10" t="s">
        <v>298</v>
      </c>
      <c r="H197" s="9" t="s">
        <v>301</v>
      </c>
      <c r="I197" s="12" t="s">
        <v>283</v>
      </c>
      <c r="J197" s="9" t="s">
        <v>300</v>
      </c>
      <c r="K197" s="12">
        <v>20</v>
      </c>
      <c r="L197" s="12">
        <v>15</v>
      </c>
      <c r="M197" s="16">
        <v>15</v>
      </c>
    </row>
    <row r="198" spans="1:13" ht="16.5" customHeight="1">
      <c r="A198" s="1">
        <v>3427</v>
      </c>
      <c r="B198" s="10" t="s">
        <v>193</v>
      </c>
      <c r="C198" s="10" t="s">
        <v>3</v>
      </c>
      <c r="D198" s="2">
        <v>45544</v>
      </c>
      <c r="E198" s="9" t="s">
        <v>301</v>
      </c>
      <c r="F198" s="12">
        <v>5</v>
      </c>
      <c r="G198" s="10" t="s">
        <v>297</v>
      </c>
      <c r="H198" s="9" t="s">
        <v>301</v>
      </c>
      <c r="I198" s="12" t="s">
        <v>283</v>
      </c>
      <c r="J198" s="9" t="s">
        <v>301</v>
      </c>
      <c r="K198" s="12">
        <v>0</v>
      </c>
      <c r="L198" s="12">
        <v>1</v>
      </c>
      <c r="M198" s="16">
        <v>4</v>
      </c>
    </row>
    <row r="199" spans="1:13" ht="16.5" customHeight="1">
      <c r="A199" s="5">
        <v>3428</v>
      </c>
      <c r="B199" s="9" t="s">
        <v>194</v>
      </c>
      <c r="C199" s="9" t="s">
        <v>1</v>
      </c>
      <c r="D199" s="6">
        <v>45545</v>
      </c>
      <c r="E199" s="9" t="s">
        <v>300</v>
      </c>
      <c r="F199" s="13">
        <v>15</v>
      </c>
      <c r="G199" s="9" t="s">
        <v>299</v>
      </c>
      <c r="H199" s="9" t="s">
        <v>300</v>
      </c>
      <c r="I199" s="13">
        <v>30</v>
      </c>
      <c r="J199" s="9" t="s">
        <v>300</v>
      </c>
      <c r="K199" s="13">
        <v>20</v>
      </c>
      <c r="L199" s="13">
        <v>3</v>
      </c>
      <c r="M199" s="15">
        <v>62</v>
      </c>
    </row>
    <row r="200" spans="1:13" ht="16.5" customHeight="1">
      <c r="A200" s="1">
        <v>3429</v>
      </c>
      <c r="B200" s="10" t="s">
        <v>195</v>
      </c>
      <c r="C200" s="10" t="s">
        <v>5</v>
      </c>
      <c r="D200" s="2">
        <v>45546</v>
      </c>
      <c r="E200" s="9" t="s">
        <v>301</v>
      </c>
      <c r="F200" s="12">
        <v>10</v>
      </c>
      <c r="G200" s="10" t="s">
        <v>297</v>
      </c>
      <c r="H200" s="9" t="s">
        <v>301</v>
      </c>
      <c r="I200" s="12" t="s">
        <v>283</v>
      </c>
      <c r="J200" s="9" t="s">
        <v>300</v>
      </c>
      <c r="K200" s="12">
        <v>20</v>
      </c>
      <c r="L200" s="12">
        <v>10</v>
      </c>
      <c r="M200" s="16">
        <v>20</v>
      </c>
    </row>
    <row r="201" spans="1:13" ht="16.5" customHeight="1">
      <c r="A201" s="1">
        <v>3430</v>
      </c>
      <c r="B201" s="10" t="s">
        <v>196</v>
      </c>
      <c r="C201" s="10" t="s">
        <v>3</v>
      </c>
      <c r="D201" s="2">
        <v>45547</v>
      </c>
      <c r="E201" s="9" t="s">
        <v>300</v>
      </c>
      <c r="F201" s="12">
        <v>5</v>
      </c>
      <c r="G201" s="10" t="s">
        <v>298</v>
      </c>
      <c r="H201" s="9" t="s">
        <v>301</v>
      </c>
      <c r="I201" s="12" t="s">
        <v>283</v>
      </c>
      <c r="J201" s="9" t="s">
        <v>301</v>
      </c>
      <c r="K201" s="12">
        <v>0</v>
      </c>
      <c r="L201" s="12">
        <v>0</v>
      </c>
      <c r="M201" s="16">
        <v>5</v>
      </c>
    </row>
    <row r="202" spans="1:13" ht="16.5" customHeight="1">
      <c r="A202" s="5">
        <v>3431</v>
      </c>
      <c r="B202" s="9" t="s">
        <v>197</v>
      </c>
      <c r="C202" s="9" t="s">
        <v>1</v>
      </c>
      <c r="D202" s="6">
        <v>45548</v>
      </c>
      <c r="E202" s="9" t="s">
        <v>301</v>
      </c>
      <c r="F202" s="13">
        <v>15</v>
      </c>
      <c r="G202" s="9" t="s">
        <v>297</v>
      </c>
      <c r="H202" s="9" t="s">
        <v>300</v>
      </c>
      <c r="I202" s="13">
        <v>30</v>
      </c>
      <c r="J202" s="9" t="s">
        <v>300</v>
      </c>
      <c r="K202" s="13">
        <v>20</v>
      </c>
      <c r="L202" s="13">
        <v>15</v>
      </c>
      <c r="M202" s="15">
        <v>50</v>
      </c>
    </row>
    <row r="203" spans="1:13" ht="16.5" customHeight="1">
      <c r="A203" s="1">
        <v>3432</v>
      </c>
      <c r="B203" s="10" t="s">
        <v>198</v>
      </c>
      <c r="C203" s="10" t="s">
        <v>5</v>
      </c>
      <c r="D203" s="2">
        <v>45549</v>
      </c>
      <c r="E203" s="9" t="s">
        <v>300</v>
      </c>
      <c r="F203" s="12">
        <v>10</v>
      </c>
      <c r="G203" s="10" t="s">
        <v>299</v>
      </c>
      <c r="H203" s="9" t="s">
        <v>301</v>
      </c>
      <c r="I203" s="12" t="s">
        <v>283</v>
      </c>
      <c r="J203" s="9" t="s">
        <v>300</v>
      </c>
      <c r="K203" s="12">
        <v>20</v>
      </c>
      <c r="L203" s="12">
        <v>15</v>
      </c>
      <c r="M203" s="16">
        <v>15</v>
      </c>
    </row>
    <row r="204" spans="1:13" ht="16.5" customHeight="1">
      <c r="A204" s="1">
        <v>3433</v>
      </c>
      <c r="B204" s="10" t="s">
        <v>199</v>
      </c>
      <c r="C204" s="10" t="s">
        <v>3</v>
      </c>
      <c r="D204" s="2">
        <v>45550</v>
      </c>
      <c r="E204" s="9" t="s">
        <v>301</v>
      </c>
      <c r="F204" s="12">
        <v>5</v>
      </c>
      <c r="G204" s="10" t="s">
        <v>297</v>
      </c>
      <c r="H204" s="9" t="s">
        <v>301</v>
      </c>
      <c r="I204" s="12" t="s">
        <v>283</v>
      </c>
      <c r="J204" s="9" t="s">
        <v>301</v>
      </c>
      <c r="K204" s="12">
        <v>0</v>
      </c>
      <c r="L204" s="12">
        <v>1</v>
      </c>
      <c r="M204" s="16">
        <v>4</v>
      </c>
    </row>
    <row r="205" spans="1:13" ht="16.5" customHeight="1">
      <c r="A205" s="5">
        <v>3434</v>
      </c>
      <c r="B205" s="9" t="s">
        <v>200</v>
      </c>
      <c r="C205" s="9" t="s">
        <v>1</v>
      </c>
      <c r="D205" s="6">
        <v>45551</v>
      </c>
      <c r="E205" s="9" t="s">
        <v>300</v>
      </c>
      <c r="F205" s="13">
        <v>15</v>
      </c>
      <c r="G205" s="9" t="s">
        <v>298</v>
      </c>
      <c r="H205" s="9" t="s">
        <v>300</v>
      </c>
      <c r="I205" s="13">
        <v>30</v>
      </c>
      <c r="J205" s="9" t="s">
        <v>300</v>
      </c>
      <c r="K205" s="13">
        <v>20</v>
      </c>
      <c r="L205" s="13">
        <v>7</v>
      </c>
      <c r="M205" s="15">
        <v>58</v>
      </c>
    </row>
    <row r="206" spans="1:13" ht="16.5" customHeight="1">
      <c r="A206" s="1">
        <v>3435</v>
      </c>
      <c r="B206" s="10" t="s">
        <v>201</v>
      </c>
      <c r="C206" s="10" t="s">
        <v>5</v>
      </c>
      <c r="D206" s="2">
        <v>45552</v>
      </c>
      <c r="E206" s="9" t="s">
        <v>301</v>
      </c>
      <c r="F206" s="12">
        <v>10</v>
      </c>
      <c r="G206" s="10" t="s">
        <v>297</v>
      </c>
      <c r="H206" s="9" t="s">
        <v>301</v>
      </c>
      <c r="I206" s="12" t="s">
        <v>283</v>
      </c>
      <c r="J206" s="9" t="s">
        <v>300</v>
      </c>
      <c r="K206" s="12">
        <v>20</v>
      </c>
      <c r="L206" s="12">
        <v>10</v>
      </c>
      <c r="M206" s="16">
        <v>20</v>
      </c>
    </row>
    <row r="207" spans="1:13" ht="16.5" customHeight="1">
      <c r="A207" s="1">
        <v>3436</v>
      </c>
      <c r="B207" s="10" t="s">
        <v>202</v>
      </c>
      <c r="C207" s="10" t="s">
        <v>3</v>
      </c>
      <c r="D207" s="2">
        <v>45553</v>
      </c>
      <c r="E207" s="9" t="s">
        <v>300</v>
      </c>
      <c r="F207" s="12">
        <v>5</v>
      </c>
      <c r="G207" s="10" t="s">
        <v>297</v>
      </c>
      <c r="H207" s="9" t="s">
        <v>301</v>
      </c>
      <c r="I207" s="12" t="s">
        <v>283</v>
      </c>
      <c r="J207" s="9" t="s">
        <v>301</v>
      </c>
      <c r="K207" s="12">
        <v>0</v>
      </c>
      <c r="L207" s="12">
        <v>0</v>
      </c>
      <c r="M207" s="16">
        <v>5</v>
      </c>
    </row>
    <row r="208" spans="1:13" ht="16.5" customHeight="1">
      <c r="A208" s="5">
        <v>3437</v>
      </c>
      <c r="B208" s="9" t="s">
        <v>203</v>
      </c>
      <c r="C208" s="9" t="s">
        <v>1</v>
      </c>
      <c r="D208" s="6">
        <v>45554</v>
      </c>
      <c r="E208" s="9" t="s">
        <v>301</v>
      </c>
      <c r="F208" s="13">
        <v>15</v>
      </c>
      <c r="G208" s="9" t="s">
        <v>298</v>
      </c>
      <c r="H208" s="9" t="s">
        <v>300</v>
      </c>
      <c r="I208" s="13">
        <v>30</v>
      </c>
      <c r="J208" s="9" t="s">
        <v>300</v>
      </c>
      <c r="K208" s="13">
        <v>20</v>
      </c>
      <c r="L208" s="13">
        <v>7</v>
      </c>
      <c r="M208" s="15">
        <v>58</v>
      </c>
    </row>
    <row r="209" spans="1:13" ht="16.5" customHeight="1">
      <c r="A209" s="1">
        <v>3438</v>
      </c>
      <c r="B209" s="10" t="s">
        <v>204</v>
      </c>
      <c r="C209" s="10" t="s">
        <v>5</v>
      </c>
      <c r="D209" s="2">
        <v>45555</v>
      </c>
      <c r="E209" s="9" t="s">
        <v>300</v>
      </c>
      <c r="F209" s="12">
        <v>10</v>
      </c>
      <c r="G209" s="10" t="s">
        <v>299</v>
      </c>
      <c r="H209" s="9" t="s">
        <v>301</v>
      </c>
      <c r="I209" s="12" t="s">
        <v>283</v>
      </c>
      <c r="J209" s="9" t="s">
        <v>300</v>
      </c>
      <c r="K209" s="12">
        <v>20</v>
      </c>
      <c r="L209" s="12">
        <v>10</v>
      </c>
      <c r="M209" s="16">
        <v>20</v>
      </c>
    </row>
    <row r="210" spans="1:13" ht="16.5" customHeight="1">
      <c r="A210" s="1">
        <v>3439</v>
      </c>
      <c r="B210" s="10" t="s">
        <v>205</v>
      </c>
      <c r="C210" s="10" t="s">
        <v>3</v>
      </c>
      <c r="D210" s="2">
        <v>45556</v>
      </c>
      <c r="E210" s="9" t="s">
        <v>301</v>
      </c>
      <c r="F210" s="12">
        <v>5</v>
      </c>
      <c r="G210" s="10" t="s">
        <v>298</v>
      </c>
      <c r="H210" s="9" t="s">
        <v>301</v>
      </c>
      <c r="I210" s="12" t="s">
        <v>283</v>
      </c>
      <c r="J210" s="9" t="s">
        <v>301</v>
      </c>
      <c r="K210" s="12">
        <v>0</v>
      </c>
      <c r="L210" s="12">
        <v>1</v>
      </c>
      <c r="M210" s="16">
        <v>4</v>
      </c>
    </row>
    <row r="211" spans="1:13" ht="16.5" customHeight="1">
      <c r="A211" s="5">
        <v>3440</v>
      </c>
      <c r="B211" s="9" t="s">
        <v>206</v>
      </c>
      <c r="C211" s="9" t="s">
        <v>1</v>
      </c>
      <c r="D211" s="6">
        <v>45557</v>
      </c>
      <c r="E211" s="9" t="s">
        <v>300</v>
      </c>
      <c r="F211" s="13">
        <v>15</v>
      </c>
      <c r="G211" s="9" t="s">
        <v>297</v>
      </c>
      <c r="H211" s="9" t="s">
        <v>300</v>
      </c>
      <c r="I211" s="13">
        <v>30</v>
      </c>
      <c r="J211" s="9" t="s">
        <v>300</v>
      </c>
      <c r="K211" s="13">
        <v>20</v>
      </c>
      <c r="L211" s="13">
        <v>15</v>
      </c>
      <c r="M211" s="15">
        <v>50</v>
      </c>
    </row>
    <row r="212" spans="1:13" ht="16.5" customHeight="1">
      <c r="A212" s="1">
        <v>3441</v>
      </c>
      <c r="B212" s="10" t="s">
        <v>207</v>
      </c>
      <c r="C212" s="10" t="s">
        <v>5</v>
      </c>
      <c r="D212" s="2">
        <v>45558</v>
      </c>
      <c r="E212" s="9" t="s">
        <v>301</v>
      </c>
      <c r="F212" s="12">
        <v>10</v>
      </c>
      <c r="G212" s="10" t="s">
        <v>297</v>
      </c>
      <c r="H212" s="9" t="s">
        <v>301</v>
      </c>
      <c r="I212" s="12" t="s">
        <v>283</v>
      </c>
      <c r="J212" s="9" t="s">
        <v>300</v>
      </c>
      <c r="K212" s="12">
        <v>20</v>
      </c>
      <c r="L212" s="12">
        <v>5</v>
      </c>
      <c r="M212" s="16">
        <v>25</v>
      </c>
    </row>
    <row r="213" spans="1:13" ht="16.5" customHeight="1">
      <c r="A213" s="1">
        <v>3442</v>
      </c>
      <c r="B213" s="10" t="s">
        <v>208</v>
      </c>
      <c r="C213" s="10" t="s">
        <v>3</v>
      </c>
      <c r="D213" s="2">
        <v>45559</v>
      </c>
      <c r="E213" s="9" t="s">
        <v>300</v>
      </c>
      <c r="F213" s="12">
        <v>5</v>
      </c>
      <c r="G213" s="10" t="s">
        <v>299</v>
      </c>
      <c r="H213" s="9" t="s">
        <v>301</v>
      </c>
      <c r="I213" s="12" t="s">
        <v>283</v>
      </c>
      <c r="J213" s="9" t="s">
        <v>301</v>
      </c>
      <c r="K213" s="12">
        <v>0</v>
      </c>
      <c r="L213" s="12">
        <v>0</v>
      </c>
      <c r="M213" s="16">
        <v>5</v>
      </c>
    </row>
    <row r="214" spans="1:13" ht="16.5" customHeight="1">
      <c r="A214" s="5">
        <v>3443</v>
      </c>
      <c r="B214" s="9" t="s">
        <v>209</v>
      </c>
      <c r="C214" s="9" t="s">
        <v>1</v>
      </c>
      <c r="D214" s="6">
        <v>45560</v>
      </c>
      <c r="E214" s="9" t="s">
        <v>301</v>
      </c>
      <c r="F214" s="13">
        <v>15</v>
      </c>
      <c r="G214" s="9" t="s">
        <v>298</v>
      </c>
      <c r="H214" s="9" t="s">
        <v>300</v>
      </c>
      <c r="I214" s="13">
        <v>30</v>
      </c>
      <c r="J214" s="9" t="s">
        <v>300</v>
      </c>
      <c r="K214" s="13">
        <v>20</v>
      </c>
      <c r="L214" s="13">
        <v>20</v>
      </c>
      <c r="M214" s="15">
        <v>45</v>
      </c>
    </row>
    <row r="215" spans="1:13" ht="16.5" customHeight="1">
      <c r="A215" s="1">
        <v>3444</v>
      </c>
      <c r="B215" s="10" t="s">
        <v>210</v>
      </c>
      <c r="C215" s="10" t="s">
        <v>5</v>
      </c>
      <c r="D215" s="2">
        <v>45561</v>
      </c>
      <c r="E215" s="9" t="s">
        <v>300</v>
      </c>
      <c r="F215" s="12">
        <v>10</v>
      </c>
      <c r="G215" s="10" t="s">
        <v>298</v>
      </c>
      <c r="H215" s="9" t="s">
        <v>301</v>
      </c>
      <c r="I215" s="12" t="s">
        <v>283</v>
      </c>
      <c r="J215" s="9" t="s">
        <v>300</v>
      </c>
      <c r="K215" s="12">
        <v>20</v>
      </c>
      <c r="L215" s="12">
        <v>12</v>
      </c>
      <c r="M215" s="16">
        <v>18</v>
      </c>
    </row>
    <row r="216" spans="1:13" ht="16.5" customHeight="1">
      <c r="A216" s="1">
        <v>3445</v>
      </c>
      <c r="B216" s="10" t="s">
        <v>40</v>
      </c>
      <c r="C216" s="10" t="s">
        <v>3</v>
      </c>
      <c r="D216" s="2">
        <v>45562</v>
      </c>
      <c r="E216" s="9" t="s">
        <v>301</v>
      </c>
      <c r="F216" s="12">
        <v>5</v>
      </c>
      <c r="G216" s="10" t="s">
        <v>297</v>
      </c>
      <c r="H216" s="9" t="s">
        <v>301</v>
      </c>
      <c r="I216" s="12" t="s">
        <v>283</v>
      </c>
      <c r="J216" s="9" t="s">
        <v>301</v>
      </c>
      <c r="K216" s="12">
        <v>0</v>
      </c>
      <c r="L216" s="12">
        <v>2</v>
      </c>
      <c r="M216" s="16">
        <v>3</v>
      </c>
    </row>
    <row r="217" spans="1:13" ht="16.5" customHeight="1">
      <c r="A217" s="5">
        <v>3446</v>
      </c>
      <c r="B217" s="9" t="s">
        <v>211</v>
      </c>
      <c r="C217" s="9" t="s">
        <v>1</v>
      </c>
      <c r="D217" s="6">
        <v>45563</v>
      </c>
      <c r="E217" s="9" t="s">
        <v>300</v>
      </c>
      <c r="F217" s="13">
        <v>15</v>
      </c>
      <c r="G217" s="9" t="s">
        <v>299</v>
      </c>
      <c r="H217" s="9" t="s">
        <v>300</v>
      </c>
      <c r="I217" s="13">
        <v>30</v>
      </c>
      <c r="J217" s="9" t="s">
        <v>300</v>
      </c>
      <c r="K217" s="13">
        <v>20</v>
      </c>
      <c r="L217" s="13">
        <v>5</v>
      </c>
      <c r="M217" s="15">
        <v>60</v>
      </c>
    </row>
    <row r="218" spans="1:13" ht="16.5" customHeight="1">
      <c r="A218" s="1">
        <v>3447</v>
      </c>
      <c r="B218" s="10" t="s">
        <v>212</v>
      </c>
      <c r="C218" s="10" t="s">
        <v>5</v>
      </c>
      <c r="D218" s="2">
        <v>45564</v>
      </c>
      <c r="E218" s="9" t="s">
        <v>301</v>
      </c>
      <c r="F218" s="12">
        <v>10</v>
      </c>
      <c r="G218" s="10" t="s">
        <v>297</v>
      </c>
      <c r="H218" s="9" t="s">
        <v>301</v>
      </c>
      <c r="I218" s="12" t="s">
        <v>283</v>
      </c>
      <c r="J218" s="9" t="s">
        <v>300</v>
      </c>
      <c r="K218" s="12">
        <v>20</v>
      </c>
      <c r="L218" s="12">
        <v>10</v>
      </c>
      <c r="M218" s="16">
        <v>20</v>
      </c>
    </row>
    <row r="219" spans="1:13" ht="16.5" customHeight="1">
      <c r="A219" s="1">
        <v>3448</v>
      </c>
      <c r="B219" s="10" t="s">
        <v>213</v>
      </c>
      <c r="C219" s="10" t="s">
        <v>3</v>
      </c>
      <c r="D219" s="2">
        <v>45565</v>
      </c>
      <c r="E219" s="9" t="s">
        <v>300</v>
      </c>
      <c r="F219" s="12">
        <v>5</v>
      </c>
      <c r="G219" s="10" t="s">
        <v>298</v>
      </c>
      <c r="H219" s="9" t="s">
        <v>301</v>
      </c>
      <c r="I219" s="12" t="s">
        <v>283</v>
      </c>
      <c r="J219" s="9" t="s">
        <v>301</v>
      </c>
      <c r="K219" s="12">
        <v>0</v>
      </c>
      <c r="L219" s="12">
        <v>0</v>
      </c>
      <c r="M219" s="16">
        <v>5</v>
      </c>
    </row>
    <row r="220" spans="1:13" ht="16.5" customHeight="1">
      <c r="A220" s="5">
        <v>3449</v>
      </c>
      <c r="B220" s="9" t="s">
        <v>214</v>
      </c>
      <c r="C220" s="9" t="s">
        <v>1</v>
      </c>
      <c r="D220" s="6">
        <v>45566</v>
      </c>
      <c r="E220" s="9" t="s">
        <v>301</v>
      </c>
      <c r="F220" s="13">
        <v>15</v>
      </c>
      <c r="G220" s="9" t="s">
        <v>297</v>
      </c>
      <c r="H220" s="9" t="s">
        <v>300</v>
      </c>
      <c r="I220" s="13">
        <v>30</v>
      </c>
      <c r="J220" s="9" t="s">
        <v>300</v>
      </c>
      <c r="K220" s="13">
        <v>20</v>
      </c>
      <c r="L220" s="13">
        <v>3</v>
      </c>
      <c r="M220" s="15">
        <v>62</v>
      </c>
    </row>
    <row r="221" spans="1:13" ht="16.5" customHeight="1">
      <c r="A221" s="1">
        <v>3450</v>
      </c>
      <c r="B221" s="10" t="s">
        <v>215</v>
      </c>
      <c r="C221" s="10" t="s">
        <v>5</v>
      </c>
      <c r="D221" s="2">
        <v>45567</v>
      </c>
      <c r="E221" s="9" t="s">
        <v>300</v>
      </c>
      <c r="F221" s="12">
        <v>10</v>
      </c>
      <c r="G221" s="10" t="s">
        <v>299</v>
      </c>
      <c r="H221" s="9" t="s">
        <v>301</v>
      </c>
      <c r="I221" s="12" t="s">
        <v>283</v>
      </c>
      <c r="J221" s="9" t="s">
        <v>300</v>
      </c>
      <c r="K221" s="12">
        <v>20</v>
      </c>
      <c r="L221" s="12">
        <v>15</v>
      </c>
      <c r="M221" s="16">
        <v>15</v>
      </c>
    </row>
    <row r="222" spans="1:13" ht="16.5" customHeight="1">
      <c r="A222" s="1">
        <v>3451</v>
      </c>
      <c r="B222" s="10" t="s">
        <v>216</v>
      </c>
      <c r="C222" s="10" t="s">
        <v>3</v>
      </c>
      <c r="D222" s="2">
        <v>45568</v>
      </c>
      <c r="E222" s="9" t="s">
        <v>301</v>
      </c>
      <c r="F222" s="12">
        <v>5</v>
      </c>
      <c r="G222" s="10" t="s">
        <v>297</v>
      </c>
      <c r="H222" s="9" t="s">
        <v>301</v>
      </c>
      <c r="I222" s="12" t="s">
        <v>283</v>
      </c>
      <c r="J222" s="9" t="s">
        <v>301</v>
      </c>
      <c r="K222" s="12">
        <v>0</v>
      </c>
      <c r="L222" s="12">
        <v>1</v>
      </c>
      <c r="M222" s="16">
        <v>4</v>
      </c>
    </row>
    <row r="223" spans="1:13" ht="16.5" customHeight="1">
      <c r="A223" s="5">
        <v>3452</v>
      </c>
      <c r="B223" s="9" t="s">
        <v>194</v>
      </c>
      <c r="C223" s="9" t="s">
        <v>1</v>
      </c>
      <c r="D223" s="6">
        <v>45569</v>
      </c>
      <c r="E223" s="9" t="s">
        <v>300</v>
      </c>
      <c r="F223" s="13">
        <v>15</v>
      </c>
      <c r="G223" s="9" t="s">
        <v>298</v>
      </c>
      <c r="H223" s="9" t="s">
        <v>300</v>
      </c>
      <c r="I223" s="13">
        <v>30</v>
      </c>
      <c r="J223" s="9" t="s">
        <v>300</v>
      </c>
      <c r="K223" s="13">
        <v>20</v>
      </c>
      <c r="L223" s="13">
        <v>7</v>
      </c>
      <c r="M223" s="15">
        <v>58</v>
      </c>
    </row>
    <row r="224" spans="1:13" ht="16.5" customHeight="1">
      <c r="A224" s="1">
        <v>3453</v>
      </c>
      <c r="B224" s="10" t="s">
        <v>48</v>
      </c>
      <c r="C224" s="10" t="s">
        <v>5</v>
      </c>
      <c r="D224" s="2">
        <v>45570</v>
      </c>
      <c r="E224" s="9" t="s">
        <v>301</v>
      </c>
      <c r="F224" s="12">
        <v>10</v>
      </c>
      <c r="G224" s="10" t="s">
        <v>297</v>
      </c>
      <c r="H224" s="9" t="s">
        <v>301</v>
      </c>
      <c r="I224" s="12" t="s">
        <v>283</v>
      </c>
      <c r="J224" s="9" t="s">
        <v>300</v>
      </c>
      <c r="K224" s="12">
        <v>20</v>
      </c>
      <c r="L224" s="12">
        <v>10</v>
      </c>
      <c r="M224" s="16">
        <v>20</v>
      </c>
    </row>
    <row r="225" spans="1:13" ht="16.5" customHeight="1">
      <c r="A225" s="1">
        <v>3454</v>
      </c>
      <c r="B225" s="10" t="s">
        <v>217</v>
      </c>
      <c r="C225" s="10" t="s">
        <v>3</v>
      </c>
      <c r="D225" s="2">
        <v>45571</v>
      </c>
      <c r="E225" s="9" t="s">
        <v>300</v>
      </c>
      <c r="F225" s="12">
        <v>5</v>
      </c>
      <c r="G225" s="10" t="s">
        <v>299</v>
      </c>
      <c r="H225" s="9" t="s">
        <v>301</v>
      </c>
      <c r="I225" s="12" t="s">
        <v>283</v>
      </c>
      <c r="J225" s="9" t="s">
        <v>301</v>
      </c>
      <c r="K225" s="12">
        <v>0</v>
      </c>
      <c r="L225" s="12">
        <v>0</v>
      </c>
      <c r="M225" s="16">
        <v>5</v>
      </c>
    </row>
    <row r="226" spans="1:13" ht="16.5" customHeight="1">
      <c r="A226" s="5">
        <v>3455</v>
      </c>
      <c r="B226" s="9" t="s">
        <v>218</v>
      </c>
      <c r="C226" s="9" t="s">
        <v>1</v>
      </c>
      <c r="D226" s="6">
        <v>45572</v>
      </c>
      <c r="E226" s="9" t="s">
        <v>301</v>
      </c>
      <c r="F226" s="13">
        <v>15</v>
      </c>
      <c r="G226" s="9" t="s">
        <v>297</v>
      </c>
      <c r="H226" s="9" t="s">
        <v>300</v>
      </c>
      <c r="I226" s="13">
        <v>30</v>
      </c>
      <c r="J226" s="9" t="s">
        <v>300</v>
      </c>
      <c r="K226" s="13">
        <v>20</v>
      </c>
      <c r="L226" s="13">
        <v>20</v>
      </c>
      <c r="M226" s="15">
        <v>45</v>
      </c>
    </row>
    <row r="227" spans="1:13" ht="16.5" customHeight="1">
      <c r="A227" s="1">
        <v>3456</v>
      </c>
      <c r="B227" s="10" t="s">
        <v>219</v>
      </c>
      <c r="C227" s="10" t="s">
        <v>5</v>
      </c>
      <c r="D227" s="2">
        <v>45573</v>
      </c>
      <c r="E227" s="9" t="s">
        <v>300</v>
      </c>
      <c r="F227" s="12">
        <v>10</v>
      </c>
      <c r="G227" s="10" t="s">
        <v>298</v>
      </c>
      <c r="H227" s="9" t="s">
        <v>301</v>
      </c>
      <c r="I227" s="12" t="s">
        <v>283</v>
      </c>
      <c r="J227" s="9" t="s">
        <v>300</v>
      </c>
      <c r="K227" s="12">
        <v>20</v>
      </c>
      <c r="L227" s="12">
        <v>15</v>
      </c>
      <c r="M227" s="16">
        <v>15</v>
      </c>
    </row>
    <row r="228" spans="1:13" ht="16.5" customHeight="1">
      <c r="A228" s="1">
        <v>3457</v>
      </c>
      <c r="B228" s="10" t="s">
        <v>220</v>
      </c>
      <c r="C228" s="10" t="s">
        <v>3</v>
      </c>
      <c r="D228" s="2">
        <v>45574</v>
      </c>
      <c r="E228" s="9" t="s">
        <v>301</v>
      </c>
      <c r="F228" s="12">
        <v>5</v>
      </c>
      <c r="G228" s="10" t="s">
        <v>297</v>
      </c>
      <c r="H228" s="9" t="s">
        <v>301</v>
      </c>
      <c r="I228" s="12" t="s">
        <v>283</v>
      </c>
      <c r="J228" s="9" t="s">
        <v>301</v>
      </c>
      <c r="K228" s="12">
        <v>0</v>
      </c>
      <c r="L228" s="12">
        <v>1</v>
      </c>
      <c r="M228" s="16">
        <v>4</v>
      </c>
    </row>
    <row r="229" spans="1:13" ht="16.5" customHeight="1">
      <c r="A229" s="5">
        <v>3458</v>
      </c>
      <c r="B229" s="9" t="s">
        <v>221</v>
      </c>
      <c r="C229" s="9" t="s">
        <v>1</v>
      </c>
      <c r="D229" s="6">
        <v>45575</v>
      </c>
      <c r="E229" s="9" t="s">
        <v>300</v>
      </c>
      <c r="F229" s="13">
        <v>15</v>
      </c>
      <c r="G229" s="9" t="s">
        <v>299</v>
      </c>
      <c r="H229" s="9" t="s">
        <v>300</v>
      </c>
      <c r="I229" s="13">
        <v>30</v>
      </c>
      <c r="J229" s="9" t="s">
        <v>300</v>
      </c>
      <c r="K229" s="13">
        <v>20</v>
      </c>
      <c r="L229" s="13">
        <v>3</v>
      </c>
      <c r="M229" s="15">
        <v>62</v>
      </c>
    </row>
    <row r="230" spans="1:13" ht="16.5" customHeight="1">
      <c r="A230" s="1">
        <v>3459</v>
      </c>
      <c r="B230" s="10" t="s">
        <v>222</v>
      </c>
      <c r="C230" s="10" t="s">
        <v>5</v>
      </c>
      <c r="D230" s="2">
        <v>45576</v>
      </c>
      <c r="E230" s="9" t="s">
        <v>301</v>
      </c>
      <c r="F230" s="12">
        <v>10</v>
      </c>
      <c r="G230" s="10" t="s">
        <v>297</v>
      </c>
      <c r="H230" s="9" t="s">
        <v>301</v>
      </c>
      <c r="I230" s="12" t="s">
        <v>283</v>
      </c>
      <c r="J230" s="9" t="s">
        <v>300</v>
      </c>
      <c r="K230" s="12">
        <v>20</v>
      </c>
      <c r="L230" s="12">
        <v>10</v>
      </c>
      <c r="M230" s="16">
        <v>20</v>
      </c>
    </row>
    <row r="231" spans="1:13" ht="16.5" customHeight="1">
      <c r="A231" s="1">
        <v>3460</v>
      </c>
      <c r="B231" s="10" t="s">
        <v>130</v>
      </c>
      <c r="C231" s="10" t="s">
        <v>3</v>
      </c>
      <c r="D231" s="2">
        <v>45577</v>
      </c>
      <c r="E231" s="9" t="s">
        <v>300</v>
      </c>
      <c r="F231" s="12">
        <v>5</v>
      </c>
      <c r="G231" s="10" t="s">
        <v>298</v>
      </c>
      <c r="H231" s="9" t="s">
        <v>301</v>
      </c>
      <c r="I231" s="12" t="s">
        <v>283</v>
      </c>
      <c r="J231" s="9" t="s">
        <v>301</v>
      </c>
      <c r="K231" s="12">
        <v>0</v>
      </c>
      <c r="L231" s="12">
        <v>0</v>
      </c>
      <c r="M231" s="16">
        <v>5</v>
      </c>
    </row>
    <row r="232" spans="1:13" ht="16.5" customHeight="1">
      <c r="A232" s="5">
        <v>3461</v>
      </c>
      <c r="B232" s="9" t="s">
        <v>223</v>
      </c>
      <c r="C232" s="9" t="s">
        <v>1</v>
      </c>
      <c r="D232" s="6">
        <v>45578</v>
      </c>
      <c r="E232" s="9" t="s">
        <v>301</v>
      </c>
      <c r="F232" s="13">
        <v>15</v>
      </c>
      <c r="G232" s="9" t="s">
        <v>297</v>
      </c>
      <c r="H232" s="9" t="s">
        <v>300</v>
      </c>
      <c r="I232" s="13">
        <v>30</v>
      </c>
      <c r="J232" s="9" t="s">
        <v>300</v>
      </c>
      <c r="K232" s="13">
        <v>20</v>
      </c>
      <c r="L232" s="13">
        <v>15</v>
      </c>
      <c r="M232" s="15">
        <v>50</v>
      </c>
    </row>
    <row r="233" spans="1:13" ht="16.5" customHeight="1">
      <c r="A233" s="1">
        <v>3462</v>
      </c>
      <c r="B233" s="10" t="s">
        <v>224</v>
      </c>
      <c r="C233" s="10" t="s">
        <v>5</v>
      </c>
      <c r="D233" s="2">
        <v>45579</v>
      </c>
      <c r="E233" s="9" t="s">
        <v>300</v>
      </c>
      <c r="F233" s="12">
        <v>10</v>
      </c>
      <c r="G233" s="10" t="s">
        <v>299</v>
      </c>
      <c r="H233" s="9" t="s">
        <v>301</v>
      </c>
      <c r="I233" s="12" t="s">
        <v>283</v>
      </c>
      <c r="J233" s="9" t="s">
        <v>300</v>
      </c>
      <c r="K233" s="12">
        <v>20</v>
      </c>
      <c r="L233" s="12">
        <v>15</v>
      </c>
      <c r="M233" s="16">
        <v>15</v>
      </c>
    </row>
    <row r="234" spans="1:13" ht="16.5" customHeight="1">
      <c r="A234" s="1">
        <v>3463</v>
      </c>
      <c r="B234" s="10" t="s">
        <v>225</v>
      </c>
      <c r="C234" s="10" t="s">
        <v>3</v>
      </c>
      <c r="D234" s="2">
        <v>45580</v>
      </c>
      <c r="E234" s="9" t="s">
        <v>301</v>
      </c>
      <c r="F234" s="12">
        <v>5</v>
      </c>
      <c r="G234" s="10" t="s">
        <v>297</v>
      </c>
      <c r="H234" s="9" t="s">
        <v>301</v>
      </c>
      <c r="I234" s="12" t="s">
        <v>283</v>
      </c>
      <c r="J234" s="9" t="s">
        <v>301</v>
      </c>
      <c r="K234" s="12">
        <v>0</v>
      </c>
      <c r="L234" s="12">
        <v>1</v>
      </c>
      <c r="M234" s="16">
        <v>4</v>
      </c>
    </row>
    <row r="235" spans="1:13" ht="16.5" customHeight="1">
      <c r="A235" s="5">
        <v>3464</v>
      </c>
      <c r="B235" s="9" t="s">
        <v>226</v>
      </c>
      <c r="C235" s="9" t="s">
        <v>1</v>
      </c>
      <c r="D235" s="6">
        <v>45581</v>
      </c>
      <c r="E235" s="9" t="s">
        <v>300</v>
      </c>
      <c r="F235" s="13">
        <v>15</v>
      </c>
      <c r="G235" s="9" t="s">
        <v>298</v>
      </c>
      <c r="H235" s="9" t="s">
        <v>300</v>
      </c>
      <c r="I235" s="13">
        <v>30</v>
      </c>
      <c r="J235" s="9" t="s">
        <v>300</v>
      </c>
      <c r="K235" s="13">
        <v>20</v>
      </c>
      <c r="L235" s="13">
        <v>7</v>
      </c>
      <c r="M235" s="15">
        <v>58</v>
      </c>
    </row>
    <row r="236" spans="1:13" ht="16.5" customHeight="1">
      <c r="A236" s="1">
        <v>3465</v>
      </c>
      <c r="B236" s="10" t="s">
        <v>227</v>
      </c>
      <c r="C236" s="10" t="s">
        <v>5</v>
      </c>
      <c r="D236" s="2">
        <v>45582</v>
      </c>
      <c r="E236" s="9" t="s">
        <v>301</v>
      </c>
      <c r="F236" s="12">
        <v>10</v>
      </c>
      <c r="G236" s="10" t="s">
        <v>297</v>
      </c>
      <c r="H236" s="9" t="s">
        <v>301</v>
      </c>
      <c r="I236" s="12" t="s">
        <v>283</v>
      </c>
      <c r="J236" s="9" t="s">
        <v>300</v>
      </c>
      <c r="K236" s="12">
        <v>20</v>
      </c>
      <c r="L236" s="12">
        <v>10</v>
      </c>
      <c r="M236" s="16">
        <v>20</v>
      </c>
    </row>
    <row r="237" spans="1:13" ht="16.5" customHeight="1">
      <c r="A237" s="1">
        <v>3466</v>
      </c>
      <c r="B237" s="10" t="s">
        <v>228</v>
      </c>
      <c r="C237" s="10" t="s">
        <v>3</v>
      </c>
      <c r="D237" s="2">
        <v>45583</v>
      </c>
      <c r="E237" s="9" t="s">
        <v>300</v>
      </c>
      <c r="F237" s="12">
        <v>5</v>
      </c>
      <c r="G237" s="10" t="s">
        <v>299</v>
      </c>
      <c r="H237" s="9" t="s">
        <v>301</v>
      </c>
      <c r="I237" s="12" t="s">
        <v>283</v>
      </c>
      <c r="J237" s="9" t="s">
        <v>301</v>
      </c>
      <c r="K237" s="12">
        <v>0</v>
      </c>
      <c r="L237" s="12">
        <v>0</v>
      </c>
      <c r="M237" s="16">
        <v>5</v>
      </c>
    </row>
    <row r="238" spans="1:13" ht="16.5" customHeight="1">
      <c r="A238" s="5">
        <v>3467</v>
      </c>
      <c r="B238" s="9" t="s">
        <v>229</v>
      </c>
      <c r="C238" s="9" t="s">
        <v>1</v>
      </c>
      <c r="D238" s="6">
        <v>45584</v>
      </c>
      <c r="E238" s="9" t="s">
        <v>301</v>
      </c>
      <c r="F238" s="13">
        <v>15</v>
      </c>
      <c r="G238" s="9" t="s">
        <v>297</v>
      </c>
      <c r="H238" s="9" t="s">
        <v>300</v>
      </c>
      <c r="I238" s="13">
        <v>30</v>
      </c>
      <c r="J238" s="9" t="s">
        <v>300</v>
      </c>
      <c r="K238" s="13">
        <v>20</v>
      </c>
      <c r="L238" s="13">
        <v>15</v>
      </c>
      <c r="M238" s="15">
        <v>50</v>
      </c>
    </row>
    <row r="239" spans="1:13" ht="16.5" customHeight="1">
      <c r="A239" s="1">
        <v>3468</v>
      </c>
      <c r="B239" s="10" t="s">
        <v>230</v>
      </c>
      <c r="C239" s="10" t="s">
        <v>5</v>
      </c>
      <c r="D239" s="2">
        <v>45585</v>
      </c>
      <c r="E239" s="9" t="s">
        <v>300</v>
      </c>
      <c r="F239" s="12">
        <v>10</v>
      </c>
      <c r="G239" s="10" t="s">
        <v>298</v>
      </c>
      <c r="H239" s="9" t="s">
        <v>301</v>
      </c>
      <c r="I239" s="12" t="s">
        <v>283</v>
      </c>
      <c r="J239" s="9" t="s">
        <v>300</v>
      </c>
      <c r="K239" s="12">
        <v>20</v>
      </c>
      <c r="L239" s="12">
        <v>12</v>
      </c>
      <c r="M239" s="16">
        <v>18</v>
      </c>
    </row>
    <row r="240" spans="1:13" ht="16.5" customHeight="1">
      <c r="A240" s="1">
        <v>3469</v>
      </c>
      <c r="B240" s="10" t="s">
        <v>231</v>
      </c>
      <c r="C240" s="10" t="s">
        <v>3</v>
      </c>
      <c r="D240" s="2">
        <v>45586</v>
      </c>
      <c r="E240" s="9" t="s">
        <v>301</v>
      </c>
      <c r="F240" s="12">
        <v>5</v>
      </c>
      <c r="G240" s="10" t="s">
        <v>297</v>
      </c>
      <c r="H240" s="9" t="s">
        <v>301</v>
      </c>
      <c r="I240" s="12" t="s">
        <v>283</v>
      </c>
      <c r="J240" s="9" t="s">
        <v>301</v>
      </c>
      <c r="K240" s="12">
        <v>0</v>
      </c>
      <c r="L240" s="12">
        <v>2</v>
      </c>
      <c r="M240" s="16">
        <v>3</v>
      </c>
    </row>
    <row r="241" spans="1:13" ht="16.5" customHeight="1">
      <c r="A241" s="5">
        <v>3470</v>
      </c>
      <c r="B241" s="9" t="s">
        <v>232</v>
      </c>
      <c r="C241" s="9" t="s">
        <v>1</v>
      </c>
      <c r="D241" s="6">
        <v>45587</v>
      </c>
      <c r="E241" s="9" t="s">
        <v>300</v>
      </c>
      <c r="F241" s="13">
        <v>15</v>
      </c>
      <c r="G241" s="9" t="s">
        <v>299</v>
      </c>
      <c r="H241" s="9" t="s">
        <v>300</v>
      </c>
      <c r="I241" s="13">
        <v>30</v>
      </c>
      <c r="J241" s="9" t="s">
        <v>300</v>
      </c>
      <c r="K241" s="13">
        <v>20</v>
      </c>
      <c r="L241" s="13">
        <v>5</v>
      </c>
      <c r="M241" s="15">
        <v>60</v>
      </c>
    </row>
    <row r="242" spans="1:13" ht="16.5" customHeight="1">
      <c r="A242" s="1">
        <v>3471</v>
      </c>
      <c r="B242" s="10" t="s">
        <v>233</v>
      </c>
      <c r="C242" s="10" t="s">
        <v>5</v>
      </c>
      <c r="D242" s="2">
        <v>45588</v>
      </c>
      <c r="E242" s="9" t="s">
        <v>301</v>
      </c>
      <c r="F242" s="12">
        <v>10</v>
      </c>
      <c r="G242" s="10" t="s">
        <v>297</v>
      </c>
      <c r="H242" s="9" t="s">
        <v>301</v>
      </c>
      <c r="I242" s="12" t="s">
        <v>283</v>
      </c>
      <c r="J242" s="9" t="s">
        <v>300</v>
      </c>
      <c r="K242" s="12">
        <v>20</v>
      </c>
      <c r="L242" s="12">
        <v>10</v>
      </c>
      <c r="M242" s="16">
        <v>20</v>
      </c>
    </row>
    <row r="243" spans="1:13" ht="16.5" customHeight="1">
      <c r="A243" s="1">
        <v>3472</v>
      </c>
      <c r="B243" s="10" t="s">
        <v>234</v>
      </c>
      <c r="C243" s="10" t="s">
        <v>3</v>
      </c>
      <c r="D243" s="2">
        <v>45589</v>
      </c>
      <c r="E243" s="9" t="s">
        <v>300</v>
      </c>
      <c r="F243" s="12">
        <v>5</v>
      </c>
      <c r="G243" s="10" t="s">
        <v>298</v>
      </c>
      <c r="H243" s="9" t="s">
        <v>301</v>
      </c>
      <c r="I243" s="12" t="s">
        <v>283</v>
      </c>
      <c r="J243" s="9" t="s">
        <v>301</v>
      </c>
      <c r="K243" s="12">
        <v>0</v>
      </c>
      <c r="L243" s="12">
        <v>0</v>
      </c>
      <c r="M243" s="16">
        <v>5</v>
      </c>
    </row>
    <row r="244" spans="1:13" ht="16.5" customHeight="1">
      <c r="A244" s="5">
        <v>3473</v>
      </c>
      <c r="B244" s="9" t="s">
        <v>143</v>
      </c>
      <c r="C244" s="9" t="s">
        <v>1</v>
      </c>
      <c r="D244" s="6">
        <v>45590</v>
      </c>
      <c r="E244" s="9" t="s">
        <v>301</v>
      </c>
      <c r="F244" s="13">
        <v>15</v>
      </c>
      <c r="G244" s="9" t="s">
        <v>297</v>
      </c>
      <c r="H244" s="9" t="s">
        <v>300</v>
      </c>
      <c r="I244" s="13">
        <v>30</v>
      </c>
      <c r="J244" s="9" t="s">
        <v>300</v>
      </c>
      <c r="K244" s="13">
        <v>20</v>
      </c>
      <c r="L244" s="13">
        <v>3</v>
      </c>
      <c r="M244" s="15">
        <v>62</v>
      </c>
    </row>
    <row r="245" spans="1:13" ht="16.5" customHeight="1">
      <c r="A245" s="1">
        <v>3474</v>
      </c>
      <c r="B245" s="10" t="s">
        <v>235</v>
      </c>
      <c r="C245" s="10" t="s">
        <v>5</v>
      </c>
      <c r="D245" s="2">
        <v>45591</v>
      </c>
      <c r="E245" s="9" t="s">
        <v>300</v>
      </c>
      <c r="F245" s="12">
        <v>10</v>
      </c>
      <c r="G245" s="10" t="s">
        <v>299</v>
      </c>
      <c r="H245" s="9" t="s">
        <v>301</v>
      </c>
      <c r="I245" s="12" t="s">
        <v>283</v>
      </c>
      <c r="J245" s="9" t="s">
        <v>300</v>
      </c>
      <c r="K245" s="12">
        <v>20</v>
      </c>
      <c r="L245" s="12">
        <v>15</v>
      </c>
      <c r="M245" s="16">
        <v>15</v>
      </c>
    </row>
    <row r="246" spans="1:13" ht="16.5" customHeight="1">
      <c r="A246" s="1">
        <v>3475</v>
      </c>
      <c r="B246" s="10" t="s">
        <v>236</v>
      </c>
      <c r="C246" s="10" t="s">
        <v>3</v>
      </c>
      <c r="D246" s="2">
        <v>45592</v>
      </c>
      <c r="E246" s="9" t="s">
        <v>301</v>
      </c>
      <c r="F246" s="12">
        <v>5</v>
      </c>
      <c r="G246" s="10" t="s">
        <v>297</v>
      </c>
      <c r="H246" s="9" t="s">
        <v>301</v>
      </c>
      <c r="I246" s="12" t="s">
        <v>283</v>
      </c>
      <c r="J246" s="9" t="s">
        <v>301</v>
      </c>
      <c r="K246" s="12">
        <v>0</v>
      </c>
      <c r="L246" s="12">
        <v>1</v>
      </c>
      <c r="M246" s="16">
        <v>4</v>
      </c>
    </row>
    <row r="247" spans="1:13" ht="16.5" customHeight="1">
      <c r="A247" s="5">
        <v>3476</v>
      </c>
      <c r="B247" s="9" t="s">
        <v>237</v>
      </c>
      <c r="C247" s="9" t="s">
        <v>1</v>
      </c>
      <c r="D247" s="6">
        <v>45593</v>
      </c>
      <c r="E247" s="9" t="s">
        <v>300</v>
      </c>
      <c r="F247" s="13">
        <v>15</v>
      </c>
      <c r="G247" s="9" t="s">
        <v>298</v>
      </c>
      <c r="H247" s="9" t="s">
        <v>300</v>
      </c>
      <c r="I247" s="13">
        <v>30</v>
      </c>
      <c r="J247" s="9" t="s">
        <v>300</v>
      </c>
      <c r="K247" s="13">
        <v>20</v>
      </c>
      <c r="L247" s="13">
        <v>7</v>
      </c>
      <c r="M247" s="15">
        <v>58</v>
      </c>
    </row>
    <row r="248" spans="1:13" ht="16.5" customHeight="1">
      <c r="A248" s="1">
        <v>3477</v>
      </c>
      <c r="B248" s="10" t="s">
        <v>238</v>
      </c>
      <c r="C248" s="10" t="s">
        <v>5</v>
      </c>
      <c r="D248" s="2">
        <v>45594</v>
      </c>
      <c r="E248" s="9" t="s">
        <v>301</v>
      </c>
      <c r="F248" s="12">
        <v>10</v>
      </c>
      <c r="G248" s="10" t="s">
        <v>297</v>
      </c>
      <c r="H248" s="9" t="s">
        <v>301</v>
      </c>
      <c r="I248" s="12" t="s">
        <v>283</v>
      </c>
      <c r="J248" s="9" t="s">
        <v>300</v>
      </c>
      <c r="K248" s="12">
        <v>20</v>
      </c>
      <c r="L248" s="12">
        <v>10</v>
      </c>
      <c r="M248" s="16">
        <v>20</v>
      </c>
    </row>
    <row r="249" spans="1:13" ht="16.5" customHeight="1">
      <c r="A249" s="1">
        <v>3478</v>
      </c>
      <c r="B249" s="10" t="s">
        <v>239</v>
      </c>
      <c r="C249" s="10" t="s">
        <v>3</v>
      </c>
      <c r="D249" s="2">
        <v>45595</v>
      </c>
      <c r="E249" s="9" t="s">
        <v>300</v>
      </c>
      <c r="F249" s="12">
        <v>5</v>
      </c>
      <c r="G249" s="10" t="s">
        <v>299</v>
      </c>
      <c r="H249" s="9" t="s">
        <v>301</v>
      </c>
      <c r="I249" s="12" t="s">
        <v>283</v>
      </c>
      <c r="J249" s="9" t="s">
        <v>301</v>
      </c>
      <c r="K249" s="12">
        <v>0</v>
      </c>
      <c r="L249" s="12">
        <v>0</v>
      </c>
      <c r="M249" s="16">
        <v>5</v>
      </c>
    </row>
    <row r="250" spans="1:13" ht="16.5" customHeight="1">
      <c r="A250" s="5">
        <v>3479</v>
      </c>
      <c r="B250" s="9" t="s">
        <v>240</v>
      </c>
      <c r="C250" s="9" t="s">
        <v>1</v>
      </c>
      <c r="D250" s="6">
        <v>45596</v>
      </c>
      <c r="E250" s="9" t="s">
        <v>301</v>
      </c>
      <c r="F250" s="13">
        <v>15</v>
      </c>
      <c r="G250" s="9" t="s">
        <v>297</v>
      </c>
      <c r="H250" s="9" t="s">
        <v>300</v>
      </c>
      <c r="I250" s="13">
        <v>30</v>
      </c>
      <c r="J250" s="9" t="s">
        <v>300</v>
      </c>
      <c r="K250" s="13">
        <v>20</v>
      </c>
      <c r="L250" s="13">
        <v>20</v>
      </c>
      <c r="M250" s="15">
        <v>45</v>
      </c>
    </row>
    <row r="251" spans="1:13" ht="16.5" customHeight="1">
      <c r="A251" s="1">
        <v>3480</v>
      </c>
      <c r="B251" s="10" t="s">
        <v>241</v>
      </c>
      <c r="C251" s="10" t="s">
        <v>5</v>
      </c>
      <c r="D251" s="2">
        <v>45597</v>
      </c>
      <c r="E251" s="9" t="s">
        <v>300</v>
      </c>
      <c r="F251" s="12">
        <v>10</v>
      </c>
      <c r="G251" s="10" t="s">
        <v>298</v>
      </c>
      <c r="H251" s="9" t="s">
        <v>301</v>
      </c>
      <c r="I251" s="12" t="s">
        <v>283</v>
      </c>
      <c r="J251" s="9" t="s">
        <v>300</v>
      </c>
      <c r="K251" s="12">
        <v>20</v>
      </c>
      <c r="L251" s="12">
        <v>15</v>
      </c>
      <c r="M251" s="16">
        <v>15</v>
      </c>
    </row>
    <row r="252" spans="1:13" ht="16.5" customHeight="1">
      <c r="A252" s="1">
        <v>3481</v>
      </c>
      <c r="B252" s="10" t="s">
        <v>242</v>
      </c>
      <c r="C252" s="10" t="s">
        <v>3</v>
      </c>
      <c r="D252" s="2">
        <v>45598</v>
      </c>
      <c r="E252" s="9" t="s">
        <v>301</v>
      </c>
      <c r="F252" s="12">
        <v>5</v>
      </c>
      <c r="G252" s="10" t="s">
        <v>297</v>
      </c>
      <c r="H252" s="9" t="s">
        <v>301</v>
      </c>
      <c r="I252" s="12" t="s">
        <v>283</v>
      </c>
      <c r="J252" s="9" t="s">
        <v>301</v>
      </c>
      <c r="K252" s="12">
        <v>0</v>
      </c>
      <c r="L252" s="12">
        <v>1</v>
      </c>
      <c r="M252" s="16">
        <v>4</v>
      </c>
    </row>
    <row r="253" spans="1:13" ht="16.5" customHeight="1">
      <c r="A253" s="5">
        <v>3482</v>
      </c>
      <c r="B253" s="9" t="s">
        <v>243</v>
      </c>
      <c r="C253" s="9" t="s">
        <v>1</v>
      </c>
      <c r="D253" s="6">
        <v>45599</v>
      </c>
      <c r="E253" s="9" t="s">
        <v>300</v>
      </c>
      <c r="F253" s="13">
        <v>15</v>
      </c>
      <c r="G253" s="9" t="s">
        <v>299</v>
      </c>
      <c r="H253" s="9" t="s">
        <v>300</v>
      </c>
      <c r="I253" s="13">
        <v>30</v>
      </c>
      <c r="J253" s="9" t="s">
        <v>300</v>
      </c>
      <c r="K253" s="13">
        <v>20</v>
      </c>
      <c r="L253" s="13">
        <v>3</v>
      </c>
      <c r="M253" s="15">
        <v>62</v>
      </c>
    </row>
    <row r="254" spans="1:13" ht="16.5" customHeight="1">
      <c r="A254" s="1">
        <v>3483</v>
      </c>
      <c r="B254" s="10" t="s">
        <v>244</v>
      </c>
      <c r="C254" s="10" t="s">
        <v>5</v>
      </c>
      <c r="D254" s="2">
        <v>45600</v>
      </c>
      <c r="E254" s="9" t="s">
        <v>301</v>
      </c>
      <c r="F254" s="12">
        <v>10</v>
      </c>
      <c r="G254" s="10" t="s">
        <v>297</v>
      </c>
      <c r="H254" s="9" t="s">
        <v>301</v>
      </c>
      <c r="I254" s="12" t="s">
        <v>283</v>
      </c>
      <c r="J254" s="9" t="s">
        <v>300</v>
      </c>
      <c r="K254" s="12">
        <v>20</v>
      </c>
      <c r="L254" s="12">
        <v>10</v>
      </c>
      <c r="M254" s="16">
        <v>20</v>
      </c>
    </row>
    <row r="255" spans="1:13" ht="16.5" customHeight="1">
      <c r="A255" s="1">
        <v>3484</v>
      </c>
      <c r="B255" s="10" t="s">
        <v>245</v>
      </c>
      <c r="C255" s="10" t="s">
        <v>3</v>
      </c>
      <c r="D255" s="2">
        <v>45601</v>
      </c>
      <c r="E255" s="9" t="s">
        <v>300</v>
      </c>
      <c r="F255" s="12">
        <v>5</v>
      </c>
      <c r="G255" s="10" t="s">
        <v>298</v>
      </c>
      <c r="H255" s="9" t="s">
        <v>301</v>
      </c>
      <c r="I255" s="12" t="s">
        <v>283</v>
      </c>
      <c r="J255" s="9" t="s">
        <v>301</v>
      </c>
      <c r="K255" s="12">
        <v>0</v>
      </c>
      <c r="L255" s="12">
        <v>0</v>
      </c>
      <c r="M255" s="16">
        <v>5</v>
      </c>
    </row>
    <row r="256" spans="1:13" ht="16.5" customHeight="1">
      <c r="A256" s="5">
        <v>3485</v>
      </c>
      <c r="B256" s="9" t="s">
        <v>246</v>
      </c>
      <c r="C256" s="9" t="s">
        <v>1</v>
      </c>
      <c r="D256" s="6">
        <v>45602</v>
      </c>
      <c r="E256" s="9" t="s">
        <v>301</v>
      </c>
      <c r="F256" s="13">
        <v>15</v>
      </c>
      <c r="G256" s="9" t="s">
        <v>297</v>
      </c>
      <c r="H256" s="9" t="s">
        <v>300</v>
      </c>
      <c r="I256" s="13">
        <v>30</v>
      </c>
      <c r="J256" s="9" t="s">
        <v>300</v>
      </c>
      <c r="K256" s="13">
        <v>20</v>
      </c>
      <c r="L256" s="13">
        <v>15</v>
      </c>
      <c r="M256" s="15">
        <v>50</v>
      </c>
    </row>
    <row r="257" spans="1:13" ht="16.5" customHeight="1">
      <c r="A257" s="1">
        <v>3486</v>
      </c>
      <c r="B257" s="10" t="s">
        <v>247</v>
      </c>
      <c r="C257" s="10" t="s">
        <v>3</v>
      </c>
      <c r="D257" s="2">
        <v>45603</v>
      </c>
      <c r="E257" s="9" t="s">
        <v>300</v>
      </c>
      <c r="F257" s="12">
        <v>5</v>
      </c>
      <c r="G257" s="10" t="s">
        <v>297</v>
      </c>
      <c r="H257" s="9" t="s">
        <v>301</v>
      </c>
      <c r="I257" s="12" t="s">
        <v>283</v>
      </c>
      <c r="J257" s="9" t="s">
        <v>301</v>
      </c>
      <c r="K257" s="12">
        <v>0</v>
      </c>
      <c r="L257" s="12">
        <v>0</v>
      </c>
      <c r="M257" s="16">
        <v>5</v>
      </c>
    </row>
    <row r="258" spans="1:13" ht="16.5" customHeight="1">
      <c r="A258" s="5">
        <v>3487</v>
      </c>
      <c r="B258" s="9" t="s">
        <v>248</v>
      </c>
      <c r="C258" s="9" t="s">
        <v>1</v>
      </c>
      <c r="D258" s="6">
        <v>45604</v>
      </c>
      <c r="E258" s="9" t="s">
        <v>301</v>
      </c>
      <c r="F258" s="13">
        <v>15</v>
      </c>
      <c r="G258" s="9" t="s">
        <v>298</v>
      </c>
      <c r="H258" s="9" t="s">
        <v>300</v>
      </c>
      <c r="I258" s="13">
        <v>30</v>
      </c>
      <c r="J258" s="9" t="s">
        <v>300</v>
      </c>
      <c r="K258" s="13">
        <v>20</v>
      </c>
      <c r="L258" s="13">
        <v>7</v>
      </c>
      <c r="M258" s="15">
        <v>58</v>
      </c>
    </row>
    <row r="259" spans="1:13" ht="16.5" customHeight="1">
      <c r="A259" s="1">
        <v>3488</v>
      </c>
      <c r="B259" s="10" t="s">
        <v>249</v>
      </c>
      <c r="C259" s="10" t="s">
        <v>5</v>
      </c>
      <c r="D259" s="2">
        <v>45605</v>
      </c>
      <c r="E259" s="9" t="s">
        <v>300</v>
      </c>
      <c r="F259" s="12">
        <v>10</v>
      </c>
      <c r="G259" s="10" t="s">
        <v>299</v>
      </c>
      <c r="H259" s="9" t="s">
        <v>301</v>
      </c>
      <c r="I259" s="12" t="s">
        <v>283</v>
      </c>
      <c r="J259" s="9" t="s">
        <v>300</v>
      </c>
      <c r="K259" s="12">
        <v>20</v>
      </c>
      <c r="L259" s="12">
        <v>10</v>
      </c>
      <c r="M259" s="16">
        <v>20</v>
      </c>
    </row>
    <row r="260" spans="1:13" ht="16.5" customHeight="1">
      <c r="A260" s="1">
        <v>3489</v>
      </c>
      <c r="B260" s="10" t="s">
        <v>250</v>
      </c>
      <c r="C260" s="10" t="s">
        <v>3</v>
      </c>
      <c r="D260" s="2">
        <v>45606</v>
      </c>
      <c r="E260" s="9" t="s">
        <v>301</v>
      </c>
      <c r="F260" s="12">
        <v>5</v>
      </c>
      <c r="G260" s="10" t="s">
        <v>298</v>
      </c>
      <c r="H260" s="9" t="s">
        <v>301</v>
      </c>
      <c r="I260" s="12" t="s">
        <v>283</v>
      </c>
      <c r="J260" s="9" t="s">
        <v>301</v>
      </c>
      <c r="K260" s="12">
        <v>0</v>
      </c>
      <c r="L260" s="12">
        <v>1</v>
      </c>
      <c r="M260" s="16">
        <v>4</v>
      </c>
    </row>
    <row r="261" spans="1:13" ht="16.5" customHeight="1">
      <c r="A261" s="5">
        <v>3490</v>
      </c>
      <c r="B261" s="9" t="s">
        <v>251</v>
      </c>
      <c r="C261" s="9" t="s">
        <v>1</v>
      </c>
      <c r="D261" s="6">
        <v>45607</v>
      </c>
      <c r="E261" s="9" t="s">
        <v>300</v>
      </c>
      <c r="F261" s="13">
        <v>15</v>
      </c>
      <c r="G261" s="9" t="s">
        <v>297</v>
      </c>
      <c r="H261" s="9" t="s">
        <v>300</v>
      </c>
      <c r="I261" s="13">
        <v>30</v>
      </c>
      <c r="J261" s="9" t="s">
        <v>300</v>
      </c>
      <c r="K261" s="13">
        <v>20</v>
      </c>
      <c r="L261" s="13">
        <v>15</v>
      </c>
      <c r="M261" s="15">
        <v>50</v>
      </c>
    </row>
    <row r="262" spans="1:13" ht="16.5" customHeight="1">
      <c r="A262" s="1">
        <v>3491</v>
      </c>
      <c r="B262" s="10" t="s">
        <v>252</v>
      </c>
      <c r="C262" s="10" t="s">
        <v>5</v>
      </c>
      <c r="D262" s="2">
        <v>45608</v>
      </c>
      <c r="E262" s="9" t="s">
        <v>301</v>
      </c>
      <c r="F262" s="12">
        <v>10</v>
      </c>
      <c r="G262" s="10" t="s">
        <v>297</v>
      </c>
      <c r="H262" s="9" t="s">
        <v>301</v>
      </c>
      <c r="I262" s="12" t="s">
        <v>283</v>
      </c>
      <c r="J262" s="9" t="s">
        <v>300</v>
      </c>
      <c r="K262" s="12">
        <v>20</v>
      </c>
      <c r="L262" s="12">
        <v>5</v>
      </c>
      <c r="M262" s="16">
        <v>25</v>
      </c>
    </row>
    <row r="263" spans="1:13" ht="16.5" customHeight="1">
      <c r="A263" s="1">
        <v>3492</v>
      </c>
      <c r="B263" s="10" t="s">
        <v>253</v>
      </c>
      <c r="C263" s="10" t="s">
        <v>3</v>
      </c>
      <c r="D263" s="2">
        <v>45609</v>
      </c>
      <c r="E263" s="9" t="s">
        <v>300</v>
      </c>
      <c r="F263" s="12">
        <v>5</v>
      </c>
      <c r="G263" s="10" t="s">
        <v>299</v>
      </c>
      <c r="H263" s="9" t="s">
        <v>301</v>
      </c>
      <c r="I263" s="12" t="s">
        <v>283</v>
      </c>
      <c r="J263" s="9" t="s">
        <v>301</v>
      </c>
      <c r="K263" s="12">
        <v>0</v>
      </c>
      <c r="L263" s="12">
        <v>0</v>
      </c>
      <c r="M263" s="16">
        <v>5</v>
      </c>
    </row>
    <row r="264" spans="1:13" ht="16.5" customHeight="1">
      <c r="A264" s="5">
        <v>3493</v>
      </c>
      <c r="B264" s="9" t="s">
        <v>254</v>
      </c>
      <c r="C264" s="9" t="s">
        <v>1</v>
      </c>
      <c r="D264" s="6">
        <v>45610</v>
      </c>
      <c r="E264" s="9" t="s">
        <v>301</v>
      </c>
      <c r="F264" s="13">
        <v>15</v>
      </c>
      <c r="G264" s="9" t="s">
        <v>298</v>
      </c>
      <c r="H264" s="9" t="s">
        <v>300</v>
      </c>
      <c r="I264" s="13">
        <v>30</v>
      </c>
      <c r="J264" s="9" t="s">
        <v>300</v>
      </c>
      <c r="K264" s="13">
        <v>20</v>
      </c>
      <c r="L264" s="13">
        <v>20</v>
      </c>
      <c r="M264" s="15">
        <v>45</v>
      </c>
    </row>
    <row r="265" spans="1:13" ht="16.5" customHeight="1">
      <c r="A265" s="1">
        <v>3494</v>
      </c>
      <c r="B265" s="10" t="s">
        <v>255</v>
      </c>
      <c r="C265" s="10" t="s">
        <v>5</v>
      </c>
      <c r="D265" s="2">
        <v>45611</v>
      </c>
      <c r="E265" s="9" t="s">
        <v>300</v>
      </c>
      <c r="F265" s="12">
        <v>10</v>
      </c>
      <c r="G265" s="10" t="s">
        <v>298</v>
      </c>
      <c r="H265" s="9" t="s">
        <v>301</v>
      </c>
      <c r="I265" s="12" t="s">
        <v>283</v>
      </c>
      <c r="J265" s="9" t="s">
        <v>300</v>
      </c>
      <c r="K265" s="12">
        <v>20</v>
      </c>
      <c r="L265" s="12">
        <v>12</v>
      </c>
      <c r="M265" s="16">
        <v>18</v>
      </c>
    </row>
    <row r="266" spans="1:13" ht="16.5" customHeight="1">
      <c r="A266" s="1">
        <v>3495</v>
      </c>
      <c r="B266" s="10" t="s">
        <v>256</v>
      </c>
      <c r="C266" s="10" t="s">
        <v>3</v>
      </c>
      <c r="D266" s="2">
        <v>45612</v>
      </c>
      <c r="E266" s="9" t="s">
        <v>301</v>
      </c>
      <c r="F266" s="12">
        <v>5</v>
      </c>
      <c r="G266" s="10" t="s">
        <v>297</v>
      </c>
      <c r="H266" s="9" t="s">
        <v>301</v>
      </c>
      <c r="I266" s="12" t="s">
        <v>283</v>
      </c>
      <c r="J266" s="9" t="s">
        <v>301</v>
      </c>
      <c r="K266" s="12">
        <v>0</v>
      </c>
      <c r="L266" s="12">
        <v>2</v>
      </c>
      <c r="M266" s="16">
        <v>3</v>
      </c>
    </row>
    <row r="267" spans="1:13" ht="16.5" customHeight="1">
      <c r="A267" s="5">
        <v>3496</v>
      </c>
      <c r="B267" s="9" t="s">
        <v>257</v>
      </c>
      <c r="C267" s="9" t="s">
        <v>1</v>
      </c>
      <c r="D267" s="6">
        <v>45613</v>
      </c>
      <c r="E267" s="9" t="s">
        <v>300</v>
      </c>
      <c r="F267" s="13">
        <v>15</v>
      </c>
      <c r="G267" s="9" t="s">
        <v>299</v>
      </c>
      <c r="H267" s="9" t="s">
        <v>300</v>
      </c>
      <c r="I267" s="13">
        <v>30</v>
      </c>
      <c r="J267" s="9" t="s">
        <v>300</v>
      </c>
      <c r="K267" s="13">
        <v>20</v>
      </c>
      <c r="L267" s="13">
        <v>5</v>
      </c>
      <c r="M267" s="15">
        <v>60</v>
      </c>
    </row>
    <row r="268" spans="1:13" ht="16.5" customHeight="1">
      <c r="A268" s="1">
        <v>3497</v>
      </c>
      <c r="B268" s="10" t="s">
        <v>258</v>
      </c>
      <c r="C268" s="10" t="s">
        <v>5</v>
      </c>
      <c r="D268" s="2">
        <v>45614</v>
      </c>
      <c r="E268" s="9" t="s">
        <v>301</v>
      </c>
      <c r="F268" s="12">
        <v>10</v>
      </c>
      <c r="G268" s="10" t="s">
        <v>297</v>
      </c>
      <c r="H268" s="9" t="s">
        <v>301</v>
      </c>
      <c r="I268" s="12" t="s">
        <v>283</v>
      </c>
      <c r="J268" s="9" t="s">
        <v>300</v>
      </c>
      <c r="K268" s="12">
        <v>20</v>
      </c>
      <c r="L268" s="12">
        <v>10</v>
      </c>
      <c r="M268" s="16">
        <v>20</v>
      </c>
    </row>
    <row r="269" spans="1:13" ht="16.5" customHeight="1">
      <c r="A269" s="1">
        <v>3498</v>
      </c>
      <c r="B269" s="10" t="s">
        <v>259</v>
      </c>
      <c r="C269" s="10" t="s">
        <v>3</v>
      </c>
      <c r="D269" s="2">
        <v>45615</v>
      </c>
      <c r="E269" s="9" t="s">
        <v>300</v>
      </c>
      <c r="F269" s="12">
        <v>5</v>
      </c>
      <c r="G269" s="10" t="s">
        <v>298</v>
      </c>
      <c r="H269" s="9" t="s">
        <v>301</v>
      </c>
      <c r="I269" s="12" t="s">
        <v>283</v>
      </c>
      <c r="J269" s="9" t="s">
        <v>301</v>
      </c>
      <c r="K269" s="12">
        <v>0</v>
      </c>
      <c r="L269" s="12">
        <v>0</v>
      </c>
      <c r="M269" s="16">
        <v>5</v>
      </c>
    </row>
    <row r="270" spans="1:13" ht="16.5" customHeight="1">
      <c r="A270" s="5">
        <v>3499</v>
      </c>
      <c r="B270" s="9" t="s">
        <v>260</v>
      </c>
      <c r="C270" s="9" t="s">
        <v>1</v>
      </c>
      <c r="D270" s="6">
        <v>45616</v>
      </c>
      <c r="E270" s="9" t="s">
        <v>301</v>
      </c>
      <c r="F270" s="13">
        <v>15</v>
      </c>
      <c r="G270" s="9" t="s">
        <v>297</v>
      </c>
      <c r="H270" s="9" t="s">
        <v>300</v>
      </c>
      <c r="I270" s="13">
        <v>30</v>
      </c>
      <c r="J270" s="9" t="s">
        <v>300</v>
      </c>
      <c r="K270" s="13">
        <v>20</v>
      </c>
      <c r="L270" s="13">
        <v>3</v>
      </c>
      <c r="M270" s="15">
        <v>62</v>
      </c>
    </row>
    <row r="271" spans="1:13" ht="16.5" customHeight="1">
      <c r="A271" s="1">
        <v>3500</v>
      </c>
      <c r="B271" s="10" t="s">
        <v>261</v>
      </c>
      <c r="C271" s="10" t="s">
        <v>5</v>
      </c>
      <c r="D271" s="2">
        <v>45617</v>
      </c>
      <c r="E271" s="9" t="s">
        <v>300</v>
      </c>
      <c r="F271" s="12">
        <v>10</v>
      </c>
      <c r="G271" s="10" t="s">
        <v>299</v>
      </c>
      <c r="H271" s="9" t="s">
        <v>301</v>
      </c>
      <c r="I271" s="12" t="s">
        <v>283</v>
      </c>
      <c r="J271" s="9" t="s">
        <v>300</v>
      </c>
      <c r="K271" s="12">
        <v>20</v>
      </c>
      <c r="L271" s="12">
        <v>15</v>
      </c>
      <c r="M271" s="16">
        <v>15</v>
      </c>
    </row>
    <row r="272" spans="1:13" ht="16.5" customHeight="1">
      <c r="A272" s="1">
        <v>3501</v>
      </c>
      <c r="B272" s="10" t="s">
        <v>262</v>
      </c>
      <c r="C272" s="10" t="s">
        <v>3</v>
      </c>
      <c r="D272" s="2">
        <v>45618</v>
      </c>
      <c r="E272" s="9" t="s">
        <v>301</v>
      </c>
      <c r="F272" s="12">
        <v>5</v>
      </c>
      <c r="G272" s="10" t="s">
        <v>297</v>
      </c>
      <c r="H272" s="9" t="s">
        <v>301</v>
      </c>
      <c r="I272" s="12" t="s">
        <v>283</v>
      </c>
      <c r="J272" s="9" t="s">
        <v>301</v>
      </c>
      <c r="K272" s="12">
        <v>0</v>
      </c>
      <c r="L272" s="12">
        <v>1</v>
      </c>
      <c r="M272" s="16">
        <v>4</v>
      </c>
    </row>
    <row r="273" spans="1:13" ht="16.5" customHeight="1">
      <c r="A273" s="5">
        <v>3502</v>
      </c>
      <c r="B273" s="9" t="s">
        <v>263</v>
      </c>
      <c r="C273" s="9" t="s">
        <v>1</v>
      </c>
      <c r="D273" s="6">
        <v>45619</v>
      </c>
      <c r="E273" s="9" t="s">
        <v>300</v>
      </c>
      <c r="F273" s="13">
        <v>15</v>
      </c>
      <c r="G273" s="9" t="s">
        <v>298</v>
      </c>
      <c r="H273" s="9" t="s">
        <v>300</v>
      </c>
      <c r="I273" s="13">
        <v>30</v>
      </c>
      <c r="J273" s="9" t="s">
        <v>300</v>
      </c>
      <c r="K273" s="13">
        <v>20</v>
      </c>
      <c r="L273" s="13">
        <v>7</v>
      </c>
      <c r="M273" s="15">
        <v>58</v>
      </c>
    </row>
    <row r="274" spans="1:13" ht="16.5" customHeight="1">
      <c r="A274" s="1">
        <v>3503</v>
      </c>
      <c r="B274" s="10" t="s">
        <v>122</v>
      </c>
      <c r="C274" s="10" t="s">
        <v>5</v>
      </c>
      <c r="D274" s="2">
        <v>45620</v>
      </c>
      <c r="E274" s="9" t="s">
        <v>301</v>
      </c>
      <c r="F274" s="12">
        <v>10</v>
      </c>
      <c r="G274" s="10" t="s">
        <v>297</v>
      </c>
      <c r="H274" s="9" t="s">
        <v>301</v>
      </c>
      <c r="I274" s="12" t="s">
        <v>283</v>
      </c>
      <c r="J274" s="9" t="s">
        <v>300</v>
      </c>
      <c r="K274" s="12">
        <v>20</v>
      </c>
      <c r="L274" s="12">
        <v>10</v>
      </c>
      <c r="M274" s="16">
        <v>20</v>
      </c>
    </row>
    <row r="275" spans="1:13" ht="16.5" customHeight="1">
      <c r="A275" s="1">
        <v>3504</v>
      </c>
      <c r="B275" s="10" t="s">
        <v>264</v>
      </c>
      <c r="C275" s="10" t="s">
        <v>3</v>
      </c>
      <c r="D275" s="2">
        <v>45621</v>
      </c>
      <c r="E275" s="9" t="s">
        <v>300</v>
      </c>
      <c r="F275" s="12">
        <v>5</v>
      </c>
      <c r="G275" s="10" t="s">
        <v>299</v>
      </c>
      <c r="H275" s="9" t="s">
        <v>301</v>
      </c>
      <c r="I275" s="12" t="s">
        <v>283</v>
      </c>
      <c r="J275" s="9" t="s">
        <v>301</v>
      </c>
      <c r="K275" s="12">
        <v>0</v>
      </c>
      <c r="L275" s="12">
        <v>0</v>
      </c>
      <c r="M275" s="16">
        <v>5</v>
      </c>
    </row>
    <row r="276" spans="1:13" ht="16.5" customHeight="1">
      <c r="A276" s="5">
        <v>3505</v>
      </c>
      <c r="B276" s="9" t="s">
        <v>265</v>
      </c>
      <c r="C276" s="9" t="s">
        <v>1</v>
      </c>
      <c r="D276" s="6">
        <v>45622</v>
      </c>
      <c r="E276" s="9" t="s">
        <v>301</v>
      </c>
      <c r="F276" s="13">
        <v>15</v>
      </c>
      <c r="G276" s="9" t="s">
        <v>297</v>
      </c>
      <c r="H276" s="9" t="s">
        <v>300</v>
      </c>
      <c r="I276" s="13">
        <v>30</v>
      </c>
      <c r="J276" s="9" t="s">
        <v>300</v>
      </c>
      <c r="K276" s="13">
        <v>20</v>
      </c>
      <c r="L276" s="13">
        <v>20</v>
      </c>
      <c r="M276" s="15">
        <v>45</v>
      </c>
    </row>
    <row r="277" spans="1:13" ht="16.5" customHeight="1">
      <c r="A277" s="1">
        <v>3506</v>
      </c>
      <c r="B277" s="10" t="s">
        <v>266</v>
      </c>
      <c r="C277" s="10" t="s">
        <v>5</v>
      </c>
      <c r="D277" s="2">
        <v>45623</v>
      </c>
      <c r="E277" s="9" t="s">
        <v>300</v>
      </c>
      <c r="F277" s="12">
        <v>10</v>
      </c>
      <c r="G277" s="10" t="s">
        <v>298</v>
      </c>
      <c r="H277" s="9" t="s">
        <v>301</v>
      </c>
      <c r="I277" s="12" t="s">
        <v>283</v>
      </c>
      <c r="J277" s="9" t="s">
        <v>300</v>
      </c>
      <c r="K277" s="12">
        <v>20</v>
      </c>
      <c r="L277" s="12">
        <v>15</v>
      </c>
      <c r="M277" s="16">
        <v>15</v>
      </c>
    </row>
    <row r="278" spans="1:13" ht="16.5" customHeight="1">
      <c r="A278" s="1">
        <v>3507</v>
      </c>
      <c r="B278" s="10" t="s">
        <v>267</v>
      </c>
      <c r="C278" s="10" t="s">
        <v>3</v>
      </c>
      <c r="D278" s="2">
        <v>45624</v>
      </c>
      <c r="E278" s="9" t="s">
        <v>301</v>
      </c>
      <c r="F278" s="12">
        <v>5</v>
      </c>
      <c r="G278" s="10" t="s">
        <v>297</v>
      </c>
      <c r="H278" s="9" t="s">
        <v>301</v>
      </c>
      <c r="I278" s="12" t="s">
        <v>283</v>
      </c>
      <c r="J278" s="9" t="s">
        <v>301</v>
      </c>
      <c r="K278" s="12">
        <v>0</v>
      </c>
      <c r="L278" s="12">
        <v>1</v>
      </c>
      <c r="M278" s="16">
        <v>4</v>
      </c>
    </row>
    <row r="279" spans="1:13" ht="16.5" customHeight="1">
      <c r="A279" s="5">
        <v>3508</v>
      </c>
      <c r="B279" s="9" t="s">
        <v>268</v>
      </c>
      <c r="C279" s="9" t="s">
        <v>1</v>
      </c>
      <c r="D279" s="6">
        <v>45625</v>
      </c>
      <c r="E279" s="9" t="s">
        <v>300</v>
      </c>
      <c r="F279" s="13">
        <v>15</v>
      </c>
      <c r="G279" s="9" t="s">
        <v>299</v>
      </c>
      <c r="H279" s="9" t="s">
        <v>300</v>
      </c>
      <c r="I279" s="13">
        <v>30</v>
      </c>
      <c r="J279" s="9" t="s">
        <v>300</v>
      </c>
      <c r="K279" s="13">
        <v>20</v>
      </c>
      <c r="L279" s="13">
        <v>3</v>
      </c>
      <c r="M279" s="15">
        <v>62</v>
      </c>
    </row>
    <row r="280" spans="1:13" ht="16.5" customHeight="1">
      <c r="A280" s="1">
        <v>3509</v>
      </c>
      <c r="B280" s="10" t="s">
        <v>269</v>
      </c>
      <c r="C280" s="10" t="s">
        <v>5</v>
      </c>
      <c r="D280" s="2">
        <v>45626</v>
      </c>
      <c r="E280" s="9" t="s">
        <v>301</v>
      </c>
      <c r="F280" s="12">
        <v>10</v>
      </c>
      <c r="G280" s="10" t="s">
        <v>297</v>
      </c>
      <c r="H280" s="9" t="s">
        <v>301</v>
      </c>
      <c r="I280" s="12" t="s">
        <v>283</v>
      </c>
      <c r="J280" s="9" t="s">
        <v>300</v>
      </c>
      <c r="K280" s="12">
        <v>20</v>
      </c>
      <c r="L280" s="12">
        <v>10</v>
      </c>
      <c r="M280" s="16">
        <v>20</v>
      </c>
    </row>
    <row r="281" spans="1:13" ht="16.5" customHeight="1">
      <c r="A281" s="1">
        <v>3510</v>
      </c>
      <c r="B281" s="10" t="s">
        <v>270</v>
      </c>
      <c r="C281" s="10" t="s">
        <v>3</v>
      </c>
      <c r="D281" s="2">
        <v>45627</v>
      </c>
      <c r="E281" s="9" t="s">
        <v>300</v>
      </c>
      <c r="F281" s="12">
        <v>5</v>
      </c>
      <c r="G281" s="10" t="s">
        <v>298</v>
      </c>
      <c r="H281" s="9" t="s">
        <v>301</v>
      </c>
      <c r="I281" s="12" t="s">
        <v>283</v>
      </c>
      <c r="J281" s="9" t="s">
        <v>301</v>
      </c>
      <c r="K281" s="12">
        <v>0</v>
      </c>
      <c r="L281" s="12">
        <v>0</v>
      </c>
      <c r="M281" s="16">
        <v>5</v>
      </c>
    </row>
    <row r="282" spans="1:13" ht="16.5" customHeight="1">
      <c r="A282" s="5">
        <v>3511</v>
      </c>
      <c r="B282" s="9" t="s">
        <v>271</v>
      </c>
      <c r="C282" s="9" t="s">
        <v>1</v>
      </c>
      <c r="D282" s="6">
        <v>45628</v>
      </c>
      <c r="E282" s="9" t="s">
        <v>301</v>
      </c>
      <c r="F282" s="13">
        <v>15</v>
      </c>
      <c r="G282" s="9" t="s">
        <v>297</v>
      </c>
      <c r="H282" s="9" t="s">
        <v>300</v>
      </c>
      <c r="I282" s="13">
        <v>30</v>
      </c>
      <c r="J282" s="9" t="s">
        <v>300</v>
      </c>
      <c r="K282" s="13">
        <v>20</v>
      </c>
      <c r="L282" s="13">
        <v>15</v>
      </c>
      <c r="M282" s="15">
        <v>50</v>
      </c>
    </row>
    <row r="283" spans="1:13" ht="16.5" customHeight="1">
      <c r="A283" s="1">
        <v>3512</v>
      </c>
      <c r="B283" s="10" t="s">
        <v>272</v>
      </c>
      <c r="C283" s="10" t="s">
        <v>5</v>
      </c>
      <c r="D283" s="2">
        <v>45629</v>
      </c>
      <c r="E283" s="9" t="s">
        <v>300</v>
      </c>
      <c r="F283" s="12">
        <v>10</v>
      </c>
      <c r="G283" s="10" t="s">
        <v>299</v>
      </c>
      <c r="H283" s="9" t="s">
        <v>301</v>
      </c>
      <c r="I283" s="12" t="s">
        <v>283</v>
      </c>
      <c r="J283" s="9" t="s">
        <v>300</v>
      </c>
      <c r="K283" s="12">
        <v>20</v>
      </c>
      <c r="L283" s="12">
        <v>15</v>
      </c>
      <c r="M283" s="16">
        <v>15</v>
      </c>
    </row>
    <row r="284" spans="1:13" ht="16.5" customHeight="1">
      <c r="A284" s="1">
        <v>3513</v>
      </c>
      <c r="B284" s="10" t="s">
        <v>273</v>
      </c>
      <c r="C284" s="10" t="s">
        <v>3</v>
      </c>
      <c r="D284" s="2">
        <v>45630</v>
      </c>
      <c r="E284" s="9" t="s">
        <v>301</v>
      </c>
      <c r="F284" s="12">
        <v>5</v>
      </c>
      <c r="G284" s="10" t="s">
        <v>297</v>
      </c>
      <c r="H284" s="9" t="s">
        <v>301</v>
      </c>
      <c r="I284" s="12" t="s">
        <v>283</v>
      </c>
      <c r="J284" s="9" t="s">
        <v>301</v>
      </c>
      <c r="K284" s="12">
        <v>0</v>
      </c>
      <c r="L284" s="12">
        <v>1</v>
      </c>
      <c r="M284" s="16">
        <v>4</v>
      </c>
    </row>
    <row r="285" spans="1:13" ht="16.5" customHeight="1">
      <c r="A285" s="5">
        <v>3514</v>
      </c>
      <c r="B285" s="9" t="s">
        <v>274</v>
      </c>
      <c r="C285" s="9" t="s">
        <v>1</v>
      </c>
      <c r="D285" s="6">
        <v>45631</v>
      </c>
      <c r="E285" s="9" t="s">
        <v>300</v>
      </c>
      <c r="F285" s="13">
        <v>15</v>
      </c>
      <c r="G285" s="9" t="s">
        <v>298</v>
      </c>
      <c r="H285" s="9" t="s">
        <v>300</v>
      </c>
      <c r="I285" s="13">
        <v>30</v>
      </c>
      <c r="J285" s="9" t="s">
        <v>300</v>
      </c>
      <c r="K285" s="13">
        <v>20</v>
      </c>
      <c r="L285" s="13">
        <v>7</v>
      </c>
      <c r="M285" s="15">
        <v>58</v>
      </c>
    </row>
    <row r="286" spans="1:13" ht="16.5" customHeight="1">
      <c r="A286" s="1">
        <v>3515</v>
      </c>
      <c r="B286" s="10" t="s">
        <v>133</v>
      </c>
      <c r="C286" s="10" t="s">
        <v>5</v>
      </c>
      <c r="D286" s="2">
        <v>45632</v>
      </c>
      <c r="E286" s="9" t="s">
        <v>301</v>
      </c>
      <c r="F286" s="12">
        <v>10</v>
      </c>
      <c r="G286" s="10" t="s">
        <v>297</v>
      </c>
      <c r="H286" s="9" t="s">
        <v>301</v>
      </c>
      <c r="I286" s="12" t="s">
        <v>283</v>
      </c>
      <c r="J286" s="9" t="s">
        <v>300</v>
      </c>
      <c r="K286" s="12">
        <v>20</v>
      </c>
      <c r="L286" s="12">
        <v>10</v>
      </c>
      <c r="M286" s="16">
        <v>20</v>
      </c>
    </row>
    <row r="287" spans="1:13" ht="16.5" customHeight="1">
      <c r="A287" s="1">
        <v>3516</v>
      </c>
      <c r="B287" s="10" t="s">
        <v>134</v>
      </c>
      <c r="C287" s="10" t="s">
        <v>3</v>
      </c>
      <c r="D287" s="2">
        <v>45633</v>
      </c>
      <c r="E287" s="9" t="s">
        <v>300</v>
      </c>
      <c r="F287" s="12">
        <v>5</v>
      </c>
      <c r="G287" s="10" t="s">
        <v>299</v>
      </c>
      <c r="H287" s="9" t="s">
        <v>301</v>
      </c>
      <c r="I287" s="12" t="s">
        <v>283</v>
      </c>
      <c r="J287" s="9" t="s">
        <v>301</v>
      </c>
      <c r="K287" s="12">
        <v>0</v>
      </c>
      <c r="L287" s="12">
        <v>0</v>
      </c>
      <c r="M287" s="16">
        <v>5</v>
      </c>
    </row>
    <row r="288" spans="1:13" ht="16.5" customHeight="1">
      <c r="A288" s="5">
        <v>3517</v>
      </c>
      <c r="B288" s="9" t="s">
        <v>184</v>
      </c>
      <c r="C288" s="9" t="s">
        <v>1</v>
      </c>
      <c r="D288" s="6">
        <v>45634</v>
      </c>
      <c r="E288" s="9" t="s">
        <v>301</v>
      </c>
      <c r="F288" s="13">
        <v>15</v>
      </c>
      <c r="G288" s="9" t="s">
        <v>297</v>
      </c>
      <c r="H288" s="9" t="s">
        <v>300</v>
      </c>
      <c r="I288" s="13">
        <v>30</v>
      </c>
      <c r="J288" s="9" t="s">
        <v>300</v>
      </c>
      <c r="K288" s="13">
        <v>20</v>
      </c>
      <c r="L288" s="13">
        <v>20</v>
      </c>
      <c r="M288" s="15">
        <v>45</v>
      </c>
    </row>
    <row r="289" spans="1:13" ht="16.5" customHeight="1">
      <c r="A289" s="1">
        <v>3518</v>
      </c>
      <c r="B289" s="10" t="s">
        <v>275</v>
      </c>
      <c r="C289" s="10" t="s">
        <v>5</v>
      </c>
      <c r="D289" s="2">
        <v>45635</v>
      </c>
      <c r="E289" s="9" t="s">
        <v>300</v>
      </c>
      <c r="F289" s="12">
        <v>10</v>
      </c>
      <c r="G289" s="10" t="s">
        <v>298</v>
      </c>
      <c r="H289" s="9" t="s">
        <v>301</v>
      </c>
      <c r="I289" s="12" t="s">
        <v>283</v>
      </c>
      <c r="J289" s="9" t="s">
        <v>300</v>
      </c>
      <c r="K289" s="12">
        <v>20</v>
      </c>
      <c r="L289" s="12">
        <v>12</v>
      </c>
      <c r="M289" s="16">
        <v>18</v>
      </c>
    </row>
    <row r="290" spans="1:13" ht="16.5" customHeight="1">
      <c r="A290" s="1">
        <v>3519</v>
      </c>
      <c r="B290" s="10" t="s">
        <v>276</v>
      </c>
      <c r="C290" s="10" t="s">
        <v>3</v>
      </c>
      <c r="D290" s="2">
        <v>45636</v>
      </c>
      <c r="E290" s="9" t="s">
        <v>301</v>
      </c>
      <c r="F290" s="12">
        <v>5</v>
      </c>
      <c r="G290" s="10" t="s">
        <v>297</v>
      </c>
      <c r="H290" s="9" t="s">
        <v>301</v>
      </c>
      <c r="I290" s="12" t="s">
        <v>283</v>
      </c>
      <c r="J290" s="9" t="s">
        <v>301</v>
      </c>
      <c r="K290" s="12">
        <v>0</v>
      </c>
      <c r="L290" s="12">
        <v>2</v>
      </c>
      <c r="M290" s="16">
        <v>3</v>
      </c>
    </row>
    <row r="291" spans="1:13" ht="16.5" customHeight="1">
      <c r="A291" s="5">
        <v>3520</v>
      </c>
      <c r="B291" s="9" t="s">
        <v>277</v>
      </c>
      <c r="C291" s="9" t="s">
        <v>1</v>
      </c>
      <c r="D291" s="6">
        <v>45637</v>
      </c>
      <c r="E291" s="9" t="s">
        <v>300</v>
      </c>
      <c r="F291" s="13">
        <v>15</v>
      </c>
      <c r="G291" s="9" t="s">
        <v>299</v>
      </c>
      <c r="H291" s="9" t="s">
        <v>300</v>
      </c>
      <c r="I291" s="13">
        <v>30</v>
      </c>
      <c r="J291" s="9" t="s">
        <v>300</v>
      </c>
      <c r="K291" s="13">
        <v>20</v>
      </c>
      <c r="L291" s="13">
        <v>5</v>
      </c>
      <c r="M291" s="15">
        <v>60</v>
      </c>
    </row>
    <row r="292" spans="1:13" ht="16.5" customHeight="1">
      <c r="A292" s="1">
        <v>3521</v>
      </c>
      <c r="B292" s="10" t="s">
        <v>278</v>
      </c>
      <c r="C292" s="10" t="s">
        <v>5</v>
      </c>
      <c r="D292" s="2">
        <v>45638</v>
      </c>
      <c r="E292" s="9" t="s">
        <v>301</v>
      </c>
      <c r="F292" s="12">
        <v>10</v>
      </c>
      <c r="G292" s="10" t="s">
        <v>297</v>
      </c>
      <c r="H292" s="9" t="s">
        <v>301</v>
      </c>
      <c r="I292" s="12" t="s">
        <v>283</v>
      </c>
      <c r="J292" s="9" t="s">
        <v>300</v>
      </c>
      <c r="K292" s="12">
        <v>20</v>
      </c>
      <c r="L292" s="12">
        <v>10</v>
      </c>
      <c r="M292" s="16">
        <v>20</v>
      </c>
    </row>
    <row r="293" spans="1:13" ht="16.5" customHeight="1">
      <c r="A293" s="1">
        <v>3522</v>
      </c>
      <c r="B293" s="10" t="s">
        <v>279</v>
      </c>
      <c r="C293" s="10" t="s">
        <v>3</v>
      </c>
      <c r="D293" s="2">
        <v>45639</v>
      </c>
      <c r="E293" s="9" t="s">
        <v>300</v>
      </c>
      <c r="F293" s="12">
        <v>5</v>
      </c>
      <c r="G293" s="10" t="s">
        <v>298</v>
      </c>
      <c r="H293" s="9" t="s">
        <v>301</v>
      </c>
      <c r="I293" s="12" t="s">
        <v>283</v>
      </c>
      <c r="J293" s="9" t="s">
        <v>301</v>
      </c>
      <c r="K293" s="12">
        <v>0</v>
      </c>
      <c r="L293" s="12">
        <v>0</v>
      </c>
      <c r="M293" s="16">
        <v>5</v>
      </c>
    </row>
    <row r="294" spans="1:13" ht="16.5" customHeight="1">
      <c r="A294" s="5">
        <v>3523</v>
      </c>
      <c r="B294" s="9" t="s">
        <v>280</v>
      </c>
      <c r="C294" s="9" t="s">
        <v>1</v>
      </c>
      <c r="D294" s="6">
        <v>45640</v>
      </c>
      <c r="E294" s="9" t="s">
        <v>301</v>
      </c>
      <c r="F294" s="13">
        <v>15</v>
      </c>
      <c r="G294" s="9" t="s">
        <v>297</v>
      </c>
      <c r="H294" s="9" t="s">
        <v>300</v>
      </c>
      <c r="I294" s="13">
        <v>30</v>
      </c>
      <c r="J294" s="9" t="s">
        <v>300</v>
      </c>
      <c r="K294" s="13">
        <v>20</v>
      </c>
      <c r="L294" s="13">
        <v>3</v>
      </c>
      <c r="M294" s="15">
        <v>62</v>
      </c>
    </row>
    <row r="295" spans="1:13" ht="16.5" customHeight="1">
      <c r="A295" s="1">
        <v>3524</v>
      </c>
      <c r="B295" s="10" t="s">
        <v>281</v>
      </c>
      <c r="C295" s="10" t="s">
        <v>5</v>
      </c>
      <c r="D295" s="2">
        <v>45641</v>
      </c>
      <c r="E295" s="9" t="s">
        <v>300</v>
      </c>
      <c r="F295" s="12">
        <v>10</v>
      </c>
      <c r="G295" s="10" t="s">
        <v>299</v>
      </c>
      <c r="H295" s="9" t="s">
        <v>301</v>
      </c>
      <c r="I295" s="12" t="s">
        <v>283</v>
      </c>
      <c r="J295" s="9" t="s">
        <v>300</v>
      </c>
      <c r="K295" s="12">
        <v>20</v>
      </c>
      <c r="L295" s="12">
        <v>15</v>
      </c>
      <c r="M295" s="16">
        <v>15</v>
      </c>
    </row>
    <row r="296" spans="1:13" ht="16.5" customHeight="1">
      <c r="A296" s="8">
        <v>3525</v>
      </c>
      <c r="B296" s="11" t="s">
        <v>282</v>
      </c>
      <c r="C296" s="11" t="s">
        <v>3</v>
      </c>
      <c r="D296" s="4">
        <v>45642</v>
      </c>
      <c r="E296" s="9" t="s">
        <v>301</v>
      </c>
      <c r="F296" s="14">
        <v>5</v>
      </c>
      <c r="G296" s="11" t="s">
        <v>297</v>
      </c>
      <c r="H296" s="9" t="s">
        <v>301</v>
      </c>
      <c r="I296" s="14" t="s">
        <v>283</v>
      </c>
      <c r="J296" s="9" t="s">
        <v>301</v>
      </c>
      <c r="K296" s="14">
        <v>0</v>
      </c>
      <c r="L296" s="14">
        <v>1</v>
      </c>
      <c r="M296" s="17">
        <v>4</v>
      </c>
    </row>
  </sheetData>
  <sheetProtection password="C9EC" sheet="1" objects="1" scenarios="1"/>
  <autoFilter ref="A1:M296"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3" tint="0.749992370372631"/>
  </sheetPr>
  <dimension ref="A1:R296"/>
  <sheetViews>
    <sheetView showGridLines="0" zoomScale="80" zoomScaleNormal="80" workbookViewId="0">
      <pane ySplit="1" topLeftCell="A2" activePane="bottomLeft" state="frozen"/>
      <selection pane="bottomLeft" activeCell="A3" sqref="A3"/>
    </sheetView>
  </sheetViews>
  <sheetFormatPr defaultRowHeight="14.25"/>
  <cols>
    <col min="1" max="1" width="17.375" style="3" bestFit="1" customWidth="1"/>
    <col min="2" max="2" width="18.875" style="7" bestFit="1" customWidth="1"/>
    <col min="3" max="3" width="8.875" style="7" bestFit="1" customWidth="1"/>
    <col min="4" max="4" width="15.25" style="3" bestFit="1" customWidth="1"/>
    <col min="5" max="5" width="15.25" style="3" customWidth="1"/>
    <col min="6" max="6" width="24.25" style="7" customWidth="1"/>
    <col min="7" max="7" width="21.875" style="3" bestFit="1" customWidth="1"/>
    <col min="8" max="8" width="20.125" style="7" customWidth="1"/>
    <col min="9" max="9" width="32.625" style="7" customWidth="1"/>
    <col min="10" max="10" width="15.75" style="3" bestFit="1" customWidth="1"/>
    <col min="11" max="11" width="34.5" style="7" customWidth="1"/>
    <col min="12" max="12" width="17.75" style="3" bestFit="1" customWidth="1"/>
    <col min="13" max="13" width="14.875" style="3" bestFit="1" customWidth="1"/>
    <col min="14" max="14" width="13" style="3" bestFit="1" customWidth="1"/>
    <col min="15" max="15" width="10" bestFit="1" customWidth="1"/>
    <col min="16" max="16" width="22" bestFit="1" customWidth="1"/>
    <col min="17" max="17" width="10.5" bestFit="1" customWidth="1"/>
    <col min="18" max="18" width="23.875" bestFit="1" customWidth="1"/>
  </cols>
  <sheetData>
    <row r="1" spans="1:18" ht="15">
      <c r="A1" s="22" t="s">
        <v>284</v>
      </c>
      <c r="B1" s="23" t="s">
        <v>285</v>
      </c>
      <c r="C1" s="23" t="s">
        <v>286</v>
      </c>
      <c r="D1" s="22" t="s">
        <v>287</v>
      </c>
      <c r="E1" s="22" t="s">
        <v>305</v>
      </c>
      <c r="F1" s="22" t="s">
        <v>288</v>
      </c>
      <c r="G1" s="22" t="s">
        <v>289</v>
      </c>
      <c r="H1" s="22" t="s">
        <v>290</v>
      </c>
      <c r="I1" s="22" t="s">
        <v>293</v>
      </c>
      <c r="J1" s="22" t="s">
        <v>296</v>
      </c>
      <c r="K1" s="22" t="s">
        <v>294</v>
      </c>
      <c r="L1" s="22" t="s">
        <v>295</v>
      </c>
      <c r="M1" s="22" t="s">
        <v>291</v>
      </c>
      <c r="N1" s="22" t="s">
        <v>292</v>
      </c>
      <c r="O1" s="40" t="s">
        <v>309</v>
      </c>
      <c r="P1" s="40" t="s">
        <v>324</v>
      </c>
      <c r="Q1" s="40" t="s">
        <v>310</v>
      </c>
      <c r="R1" s="40" t="s">
        <v>323</v>
      </c>
    </row>
    <row r="2" spans="1:18" ht="16.5" customHeight="1">
      <c r="A2" s="24">
        <v>3231</v>
      </c>
      <c r="B2" s="25" t="s">
        <v>0</v>
      </c>
      <c r="C2" s="25" t="s">
        <v>1</v>
      </c>
      <c r="D2" s="26">
        <v>45292</v>
      </c>
      <c r="E2" s="34" t="str">
        <f t="shared" ref="E2:E65" si="0">PROPER(TEXT($D2,"mmmm"))</f>
        <v>Janeiro</v>
      </c>
      <c r="F2" s="25" t="s">
        <v>300</v>
      </c>
      <c r="G2" s="27">
        <v>15</v>
      </c>
      <c r="H2" s="25" t="s">
        <v>297</v>
      </c>
      <c r="I2" s="25" t="s">
        <v>300</v>
      </c>
      <c r="J2" s="28">
        <v>30</v>
      </c>
      <c r="K2" s="25" t="s">
        <v>300</v>
      </c>
      <c r="L2" s="28">
        <v>20</v>
      </c>
      <c r="M2" s="28">
        <v>5</v>
      </c>
      <c r="N2" s="28">
        <v>60</v>
      </c>
      <c r="O2" s="41">
        <f>IF($I2="Sim",1,"")</f>
        <v>1</v>
      </c>
      <c r="P2" s="39">
        <f t="shared" ref="P2:P65" si="1">IF($I2="Sim",$J2,"")</f>
        <v>30</v>
      </c>
      <c r="Q2" s="41">
        <f t="shared" ref="Q2:Q65" si="2">IF($K2="Sim",1,"")</f>
        <v>1</v>
      </c>
      <c r="R2" s="39">
        <f t="shared" ref="R2:R65" si="3">IF($K2="Sim",$L2,"")</f>
        <v>20</v>
      </c>
    </row>
    <row r="3" spans="1:18" ht="16.5" customHeight="1">
      <c r="A3" s="29">
        <v>3232</v>
      </c>
      <c r="B3" s="30" t="s">
        <v>2</v>
      </c>
      <c r="C3" s="30" t="s">
        <v>3</v>
      </c>
      <c r="D3" s="31">
        <v>45306</v>
      </c>
      <c r="E3" s="35" t="str">
        <f t="shared" si="0"/>
        <v>Janeiro</v>
      </c>
      <c r="F3" s="25" t="s">
        <v>301</v>
      </c>
      <c r="G3" s="27">
        <v>5</v>
      </c>
      <c r="H3" s="30" t="s">
        <v>299</v>
      </c>
      <c r="I3" s="25" t="s">
        <v>301</v>
      </c>
      <c r="J3" s="27" t="s">
        <v>283</v>
      </c>
      <c r="K3" s="25" t="s">
        <v>301</v>
      </c>
      <c r="L3" s="27">
        <v>0</v>
      </c>
      <c r="M3" s="27">
        <v>0</v>
      </c>
      <c r="N3" s="27">
        <v>5</v>
      </c>
      <c r="O3" s="41" t="str">
        <f t="shared" ref="O3:O65" si="4">IF($I3="Sim",1,"")</f>
        <v/>
      </c>
      <c r="P3" s="39" t="str">
        <f t="shared" si="1"/>
        <v/>
      </c>
      <c r="Q3" s="41" t="str">
        <f t="shared" si="2"/>
        <v/>
      </c>
      <c r="R3" s="39" t="str">
        <f t="shared" si="3"/>
        <v/>
      </c>
    </row>
    <row r="4" spans="1:18" ht="16.5" customHeight="1">
      <c r="A4" s="29">
        <v>3233</v>
      </c>
      <c r="B4" s="30" t="s">
        <v>4</v>
      </c>
      <c r="C4" s="30" t="s">
        <v>5</v>
      </c>
      <c r="D4" s="31">
        <v>45332</v>
      </c>
      <c r="E4" s="35" t="str">
        <f t="shared" si="0"/>
        <v>Fevereiro</v>
      </c>
      <c r="F4" s="25" t="s">
        <v>300</v>
      </c>
      <c r="G4" s="27">
        <v>10</v>
      </c>
      <c r="H4" s="30" t="s">
        <v>298</v>
      </c>
      <c r="I4" s="25" t="s">
        <v>301</v>
      </c>
      <c r="J4" s="27" t="s">
        <v>283</v>
      </c>
      <c r="K4" s="25" t="s">
        <v>300</v>
      </c>
      <c r="L4" s="27">
        <v>20</v>
      </c>
      <c r="M4" s="27">
        <v>10</v>
      </c>
      <c r="N4" s="27">
        <v>20</v>
      </c>
      <c r="O4" s="41" t="str">
        <f t="shared" si="4"/>
        <v/>
      </c>
      <c r="P4" s="39" t="str">
        <f t="shared" si="1"/>
        <v/>
      </c>
      <c r="Q4" s="41">
        <f t="shared" si="2"/>
        <v>1</v>
      </c>
      <c r="R4" s="39">
        <f t="shared" si="3"/>
        <v>20</v>
      </c>
    </row>
    <row r="5" spans="1:18" ht="16.5" customHeight="1">
      <c r="A5" s="24">
        <v>3234</v>
      </c>
      <c r="B5" s="25" t="s">
        <v>6</v>
      </c>
      <c r="C5" s="25" t="s">
        <v>1</v>
      </c>
      <c r="D5" s="26">
        <v>45342</v>
      </c>
      <c r="E5" s="34" t="str">
        <f t="shared" si="0"/>
        <v>Fevereiro</v>
      </c>
      <c r="F5" s="25" t="s">
        <v>301</v>
      </c>
      <c r="G5" s="28">
        <v>15</v>
      </c>
      <c r="H5" s="25" t="s">
        <v>297</v>
      </c>
      <c r="I5" s="25" t="s">
        <v>300</v>
      </c>
      <c r="J5" s="28">
        <v>30</v>
      </c>
      <c r="K5" s="25" t="s">
        <v>300</v>
      </c>
      <c r="L5" s="28">
        <v>20</v>
      </c>
      <c r="M5" s="28">
        <v>3</v>
      </c>
      <c r="N5" s="28">
        <v>62</v>
      </c>
      <c r="O5" s="41">
        <f t="shared" si="4"/>
        <v>1</v>
      </c>
      <c r="P5" s="39">
        <f t="shared" si="1"/>
        <v>30</v>
      </c>
      <c r="Q5" s="41">
        <f t="shared" si="2"/>
        <v>1</v>
      </c>
      <c r="R5" s="39">
        <f t="shared" si="3"/>
        <v>20</v>
      </c>
    </row>
    <row r="6" spans="1:18" ht="16.5" customHeight="1">
      <c r="A6" s="29">
        <v>3235</v>
      </c>
      <c r="B6" s="30" t="s">
        <v>7</v>
      </c>
      <c r="C6" s="30" t="s">
        <v>3</v>
      </c>
      <c r="D6" s="31">
        <v>45356</v>
      </c>
      <c r="E6" s="35" t="str">
        <f t="shared" si="0"/>
        <v>Março</v>
      </c>
      <c r="F6" s="25" t="s">
        <v>300</v>
      </c>
      <c r="G6" s="27">
        <v>5</v>
      </c>
      <c r="H6" s="30" t="s">
        <v>297</v>
      </c>
      <c r="I6" s="25" t="s">
        <v>301</v>
      </c>
      <c r="J6" s="27" t="s">
        <v>283</v>
      </c>
      <c r="K6" s="25" t="s">
        <v>301</v>
      </c>
      <c r="L6" s="27">
        <v>0</v>
      </c>
      <c r="M6" s="27">
        <v>1</v>
      </c>
      <c r="N6" s="27">
        <v>4</v>
      </c>
      <c r="O6" s="41" t="str">
        <f t="shared" si="4"/>
        <v/>
      </c>
      <c r="P6" s="39" t="str">
        <f t="shared" si="1"/>
        <v/>
      </c>
      <c r="Q6" s="41" t="str">
        <f t="shared" si="2"/>
        <v/>
      </c>
      <c r="R6" s="39" t="str">
        <f t="shared" si="3"/>
        <v/>
      </c>
    </row>
    <row r="7" spans="1:18" ht="16.5" customHeight="1">
      <c r="A7" s="29">
        <v>3236</v>
      </c>
      <c r="B7" s="30" t="s">
        <v>8</v>
      </c>
      <c r="C7" s="30" t="s">
        <v>5</v>
      </c>
      <c r="D7" s="31">
        <v>45353</v>
      </c>
      <c r="E7" s="35" t="str">
        <f t="shared" si="0"/>
        <v>Março</v>
      </c>
      <c r="F7" s="25" t="s">
        <v>301</v>
      </c>
      <c r="G7" s="27">
        <v>10</v>
      </c>
      <c r="H7" s="30" t="s">
        <v>297</v>
      </c>
      <c r="I7" s="25" t="s">
        <v>301</v>
      </c>
      <c r="J7" s="27" t="s">
        <v>283</v>
      </c>
      <c r="K7" s="25" t="s">
        <v>300</v>
      </c>
      <c r="L7" s="27">
        <v>20</v>
      </c>
      <c r="M7" s="27">
        <v>2</v>
      </c>
      <c r="N7" s="27">
        <v>28</v>
      </c>
      <c r="O7" s="41" t="str">
        <f t="shared" si="4"/>
        <v/>
      </c>
      <c r="P7" s="39" t="str">
        <f t="shared" si="1"/>
        <v/>
      </c>
      <c r="Q7" s="41">
        <f t="shared" si="2"/>
        <v>1</v>
      </c>
      <c r="R7" s="39">
        <f t="shared" si="3"/>
        <v>20</v>
      </c>
    </row>
    <row r="8" spans="1:18" ht="16.5" customHeight="1">
      <c r="A8" s="24">
        <v>3237</v>
      </c>
      <c r="B8" s="25" t="s">
        <v>9</v>
      </c>
      <c r="C8" s="25" t="s">
        <v>1</v>
      </c>
      <c r="D8" s="26">
        <v>45354</v>
      </c>
      <c r="E8" s="34" t="str">
        <f t="shared" si="0"/>
        <v>Março</v>
      </c>
      <c r="F8" s="25" t="s">
        <v>300</v>
      </c>
      <c r="G8" s="28">
        <v>15</v>
      </c>
      <c r="H8" s="25" t="s">
        <v>298</v>
      </c>
      <c r="I8" s="25" t="s">
        <v>300</v>
      </c>
      <c r="J8" s="28">
        <v>30</v>
      </c>
      <c r="K8" s="25" t="s">
        <v>300</v>
      </c>
      <c r="L8" s="28">
        <v>20</v>
      </c>
      <c r="M8" s="28">
        <v>10</v>
      </c>
      <c r="N8" s="28">
        <v>55</v>
      </c>
      <c r="O8" s="41">
        <f t="shared" si="4"/>
        <v>1</v>
      </c>
      <c r="P8" s="39">
        <f t="shared" si="1"/>
        <v>30</v>
      </c>
      <c r="Q8" s="41">
        <f t="shared" si="2"/>
        <v>1</v>
      </c>
      <c r="R8" s="39">
        <f t="shared" si="3"/>
        <v>20</v>
      </c>
    </row>
    <row r="9" spans="1:18" ht="16.5" customHeight="1">
      <c r="A9" s="29">
        <v>3238</v>
      </c>
      <c r="B9" s="30" t="s">
        <v>10</v>
      </c>
      <c r="C9" s="30" t="s">
        <v>3</v>
      </c>
      <c r="D9" s="31">
        <v>45355</v>
      </c>
      <c r="E9" s="35" t="str">
        <f t="shared" si="0"/>
        <v>Março</v>
      </c>
      <c r="F9" s="25" t="s">
        <v>300</v>
      </c>
      <c r="G9" s="27">
        <v>5</v>
      </c>
      <c r="H9" s="30" t="s">
        <v>299</v>
      </c>
      <c r="I9" s="25" t="s">
        <v>301</v>
      </c>
      <c r="J9" s="27" t="s">
        <v>283</v>
      </c>
      <c r="K9" s="25" t="s">
        <v>301</v>
      </c>
      <c r="L9" s="27">
        <v>0</v>
      </c>
      <c r="M9" s="27">
        <v>0</v>
      </c>
      <c r="N9" s="27">
        <v>5</v>
      </c>
      <c r="O9" s="41" t="str">
        <f t="shared" si="4"/>
        <v/>
      </c>
      <c r="P9" s="39" t="str">
        <f t="shared" si="1"/>
        <v/>
      </c>
      <c r="Q9" s="41" t="str">
        <f t="shared" si="2"/>
        <v/>
      </c>
      <c r="R9" s="39" t="str">
        <f t="shared" si="3"/>
        <v/>
      </c>
    </row>
    <row r="10" spans="1:18" ht="16.5" customHeight="1">
      <c r="A10" s="24">
        <v>3239</v>
      </c>
      <c r="B10" s="25" t="s">
        <v>11</v>
      </c>
      <c r="C10" s="25" t="s">
        <v>1</v>
      </c>
      <c r="D10" s="26">
        <v>45356</v>
      </c>
      <c r="E10" s="34" t="str">
        <f t="shared" si="0"/>
        <v>Março</v>
      </c>
      <c r="F10" s="25" t="s">
        <v>301</v>
      </c>
      <c r="G10" s="28">
        <v>15</v>
      </c>
      <c r="H10" s="25" t="s">
        <v>297</v>
      </c>
      <c r="I10" s="25" t="s">
        <v>300</v>
      </c>
      <c r="J10" s="28">
        <v>30</v>
      </c>
      <c r="K10" s="25" t="s">
        <v>300</v>
      </c>
      <c r="L10" s="28">
        <v>20</v>
      </c>
      <c r="M10" s="28">
        <v>5</v>
      </c>
      <c r="N10" s="28">
        <v>60</v>
      </c>
      <c r="O10" s="41">
        <f t="shared" si="4"/>
        <v>1</v>
      </c>
      <c r="P10" s="39">
        <f t="shared" si="1"/>
        <v>30</v>
      </c>
      <c r="Q10" s="41">
        <f t="shared" si="2"/>
        <v>1</v>
      </c>
      <c r="R10" s="39">
        <f t="shared" si="3"/>
        <v>20</v>
      </c>
    </row>
    <row r="11" spans="1:18" ht="16.5" customHeight="1">
      <c r="A11" s="29">
        <v>3240</v>
      </c>
      <c r="B11" s="30" t="s">
        <v>12</v>
      </c>
      <c r="C11" s="30" t="s">
        <v>5</v>
      </c>
      <c r="D11" s="31">
        <v>45357</v>
      </c>
      <c r="E11" s="35" t="str">
        <f t="shared" si="0"/>
        <v>Março</v>
      </c>
      <c r="F11" s="25" t="s">
        <v>300</v>
      </c>
      <c r="G11" s="27">
        <v>10</v>
      </c>
      <c r="H11" s="30" t="s">
        <v>298</v>
      </c>
      <c r="I11" s="25" t="s">
        <v>301</v>
      </c>
      <c r="J11" s="27" t="s">
        <v>283</v>
      </c>
      <c r="K11" s="25" t="s">
        <v>300</v>
      </c>
      <c r="L11" s="27">
        <v>20</v>
      </c>
      <c r="M11" s="27">
        <v>15</v>
      </c>
      <c r="N11" s="27">
        <v>15</v>
      </c>
      <c r="O11" s="41" t="str">
        <f t="shared" si="4"/>
        <v/>
      </c>
      <c r="P11" s="39" t="str">
        <f t="shared" si="1"/>
        <v/>
      </c>
      <c r="Q11" s="41">
        <f t="shared" si="2"/>
        <v>1</v>
      </c>
      <c r="R11" s="39">
        <f t="shared" si="3"/>
        <v>20</v>
      </c>
    </row>
    <row r="12" spans="1:18" ht="16.5" customHeight="1">
      <c r="A12" s="29">
        <v>3241</v>
      </c>
      <c r="B12" s="30" t="s">
        <v>13</v>
      </c>
      <c r="C12" s="30" t="s">
        <v>3</v>
      </c>
      <c r="D12" s="31">
        <v>45358</v>
      </c>
      <c r="E12" s="35" t="str">
        <f t="shared" si="0"/>
        <v>Março</v>
      </c>
      <c r="F12" s="25" t="s">
        <v>301</v>
      </c>
      <c r="G12" s="27">
        <v>5</v>
      </c>
      <c r="H12" s="30" t="s">
        <v>297</v>
      </c>
      <c r="I12" s="25" t="s">
        <v>301</v>
      </c>
      <c r="J12" s="27" t="s">
        <v>283</v>
      </c>
      <c r="K12" s="25" t="s">
        <v>301</v>
      </c>
      <c r="L12" s="27">
        <v>0</v>
      </c>
      <c r="M12" s="27">
        <v>1</v>
      </c>
      <c r="N12" s="27">
        <v>4</v>
      </c>
      <c r="O12" s="41" t="str">
        <f t="shared" si="4"/>
        <v/>
      </c>
      <c r="P12" s="39" t="str">
        <f t="shared" si="1"/>
        <v/>
      </c>
      <c r="Q12" s="41" t="str">
        <f t="shared" si="2"/>
        <v/>
      </c>
      <c r="R12" s="39" t="str">
        <f t="shared" si="3"/>
        <v/>
      </c>
    </row>
    <row r="13" spans="1:18" ht="16.5" customHeight="1">
      <c r="A13" s="24">
        <v>3242</v>
      </c>
      <c r="B13" s="25" t="s">
        <v>14</v>
      </c>
      <c r="C13" s="25" t="s">
        <v>1</v>
      </c>
      <c r="D13" s="26">
        <v>45359</v>
      </c>
      <c r="E13" s="34" t="str">
        <f t="shared" si="0"/>
        <v>Março</v>
      </c>
      <c r="F13" s="25" t="s">
        <v>300</v>
      </c>
      <c r="G13" s="28">
        <v>15</v>
      </c>
      <c r="H13" s="25" t="s">
        <v>299</v>
      </c>
      <c r="I13" s="25" t="s">
        <v>300</v>
      </c>
      <c r="J13" s="28">
        <v>30</v>
      </c>
      <c r="K13" s="25" t="s">
        <v>300</v>
      </c>
      <c r="L13" s="28">
        <v>20</v>
      </c>
      <c r="M13" s="28">
        <v>20</v>
      </c>
      <c r="N13" s="28">
        <v>45</v>
      </c>
      <c r="O13" s="41">
        <f t="shared" si="4"/>
        <v>1</v>
      </c>
      <c r="P13" s="39">
        <f t="shared" si="1"/>
        <v>30</v>
      </c>
      <c r="Q13" s="41">
        <f t="shared" si="2"/>
        <v>1</v>
      </c>
      <c r="R13" s="39">
        <f t="shared" si="3"/>
        <v>20</v>
      </c>
    </row>
    <row r="14" spans="1:18" ht="16.5" customHeight="1">
      <c r="A14" s="29">
        <v>3243</v>
      </c>
      <c r="B14" s="30" t="s">
        <v>15</v>
      </c>
      <c r="C14" s="30" t="s">
        <v>5</v>
      </c>
      <c r="D14" s="31">
        <v>45360</v>
      </c>
      <c r="E14" s="35" t="str">
        <f t="shared" si="0"/>
        <v>Março</v>
      </c>
      <c r="F14" s="25" t="s">
        <v>301</v>
      </c>
      <c r="G14" s="27">
        <v>10</v>
      </c>
      <c r="H14" s="30" t="s">
        <v>297</v>
      </c>
      <c r="I14" s="25" t="s">
        <v>301</v>
      </c>
      <c r="J14" s="27" t="s">
        <v>283</v>
      </c>
      <c r="K14" s="25" t="s">
        <v>300</v>
      </c>
      <c r="L14" s="27">
        <v>20</v>
      </c>
      <c r="M14" s="27">
        <v>10</v>
      </c>
      <c r="N14" s="27">
        <v>20</v>
      </c>
      <c r="O14" s="41" t="str">
        <f t="shared" si="4"/>
        <v/>
      </c>
      <c r="P14" s="39" t="str">
        <f t="shared" si="1"/>
        <v/>
      </c>
      <c r="Q14" s="41">
        <f t="shared" si="2"/>
        <v>1</v>
      </c>
      <c r="R14" s="39">
        <f t="shared" si="3"/>
        <v>20</v>
      </c>
    </row>
    <row r="15" spans="1:18" ht="16.5" customHeight="1">
      <c r="A15" s="29">
        <v>3244</v>
      </c>
      <c r="B15" s="30" t="s">
        <v>16</v>
      </c>
      <c r="C15" s="30" t="s">
        <v>3</v>
      </c>
      <c r="D15" s="31">
        <v>45361</v>
      </c>
      <c r="E15" s="35" t="str">
        <f t="shared" si="0"/>
        <v>Março</v>
      </c>
      <c r="F15" s="25" t="s">
        <v>300</v>
      </c>
      <c r="G15" s="27">
        <v>5</v>
      </c>
      <c r="H15" s="30" t="s">
        <v>298</v>
      </c>
      <c r="I15" s="25" t="s">
        <v>301</v>
      </c>
      <c r="J15" s="27" t="s">
        <v>283</v>
      </c>
      <c r="K15" s="25" t="s">
        <v>301</v>
      </c>
      <c r="L15" s="27">
        <v>0</v>
      </c>
      <c r="M15" s="27">
        <v>0</v>
      </c>
      <c r="N15" s="27">
        <v>5</v>
      </c>
      <c r="O15" s="41" t="str">
        <f t="shared" si="4"/>
        <v/>
      </c>
      <c r="P15" s="39" t="str">
        <f t="shared" si="1"/>
        <v/>
      </c>
      <c r="Q15" s="41" t="str">
        <f t="shared" si="2"/>
        <v/>
      </c>
      <c r="R15" s="39" t="str">
        <f t="shared" si="3"/>
        <v/>
      </c>
    </row>
    <row r="16" spans="1:18" ht="16.5" customHeight="1">
      <c r="A16" s="24">
        <v>3245</v>
      </c>
      <c r="B16" s="25" t="s">
        <v>17</v>
      </c>
      <c r="C16" s="25" t="s">
        <v>1</v>
      </c>
      <c r="D16" s="26">
        <v>45362</v>
      </c>
      <c r="E16" s="34" t="str">
        <f t="shared" si="0"/>
        <v>Março</v>
      </c>
      <c r="F16" s="25" t="s">
        <v>301</v>
      </c>
      <c r="G16" s="28">
        <v>15</v>
      </c>
      <c r="H16" s="25" t="s">
        <v>297</v>
      </c>
      <c r="I16" s="25" t="s">
        <v>300</v>
      </c>
      <c r="J16" s="28">
        <v>30</v>
      </c>
      <c r="K16" s="25" t="s">
        <v>300</v>
      </c>
      <c r="L16" s="28">
        <v>20</v>
      </c>
      <c r="M16" s="28">
        <v>8</v>
      </c>
      <c r="N16" s="28">
        <v>57</v>
      </c>
      <c r="O16" s="41">
        <f t="shared" si="4"/>
        <v>1</v>
      </c>
      <c r="P16" s="39">
        <f t="shared" si="1"/>
        <v>30</v>
      </c>
      <c r="Q16" s="41">
        <f t="shared" si="2"/>
        <v>1</v>
      </c>
      <c r="R16" s="39">
        <f t="shared" si="3"/>
        <v>20</v>
      </c>
    </row>
    <row r="17" spans="1:18" ht="16.5" customHeight="1">
      <c r="A17" s="29">
        <v>3246</v>
      </c>
      <c r="B17" s="30" t="s">
        <v>18</v>
      </c>
      <c r="C17" s="30" t="s">
        <v>5</v>
      </c>
      <c r="D17" s="31">
        <v>45363</v>
      </c>
      <c r="E17" s="35" t="str">
        <f t="shared" si="0"/>
        <v>Março</v>
      </c>
      <c r="F17" s="25" t="s">
        <v>300</v>
      </c>
      <c r="G17" s="27">
        <v>10</v>
      </c>
      <c r="H17" s="30" t="s">
        <v>299</v>
      </c>
      <c r="I17" s="25" t="s">
        <v>301</v>
      </c>
      <c r="J17" s="27" t="s">
        <v>283</v>
      </c>
      <c r="K17" s="25" t="s">
        <v>300</v>
      </c>
      <c r="L17" s="27">
        <v>20</v>
      </c>
      <c r="M17" s="27">
        <v>12</v>
      </c>
      <c r="N17" s="27">
        <v>18</v>
      </c>
      <c r="O17" s="41" t="str">
        <f t="shared" si="4"/>
        <v/>
      </c>
      <c r="P17" s="39" t="str">
        <f t="shared" si="1"/>
        <v/>
      </c>
      <c r="Q17" s="41">
        <f t="shared" si="2"/>
        <v>1</v>
      </c>
      <c r="R17" s="39">
        <f t="shared" si="3"/>
        <v>20</v>
      </c>
    </row>
    <row r="18" spans="1:18" ht="16.5" customHeight="1">
      <c r="A18" s="29">
        <v>3247</v>
      </c>
      <c r="B18" s="30" t="s">
        <v>19</v>
      </c>
      <c r="C18" s="30" t="s">
        <v>3</v>
      </c>
      <c r="D18" s="31">
        <v>45364</v>
      </c>
      <c r="E18" s="35" t="str">
        <f t="shared" si="0"/>
        <v>Março</v>
      </c>
      <c r="F18" s="25" t="s">
        <v>301</v>
      </c>
      <c r="G18" s="27">
        <v>5</v>
      </c>
      <c r="H18" s="30" t="s">
        <v>297</v>
      </c>
      <c r="I18" s="25" t="s">
        <v>301</v>
      </c>
      <c r="J18" s="27" t="s">
        <v>283</v>
      </c>
      <c r="K18" s="25" t="s">
        <v>301</v>
      </c>
      <c r="L18" s="27">
        <v>0</v>
      </c>
      <c r="M18" s="27">
        <v>2</v>
      </c>
      <c r="N18" s="27">
        <v>3</v>
      </c>
      <c r="O18" s="41" t="str">
        <f t="shared" si="4"/>
        <v/>
      </c>
      <c r="P18" s="39" t="str">
        <f t="shared" si="1"/>
        <v/>
      </c>
      <c r="Q18" s="41" t="str">
        <f t="shared" si="2"/>
        <v/>
      </c>
      <c r="R18" s="39" t="str">
        <f t="shared" si="3"/>
        <v/>
      </c>
    </row>
    <row r="19" spans="1:18" ht="16.5" customHeight="1">
      <c r="A19" s="24">
        <v>3248</v>
      </c>
      <c r="B19" s="25" t="s">
        <v>20</v>
      </c>
      <c r="C19" s="25" t="s">
        <v>1</v>
      </c>
      <c r="D19" s="26">
        <v>45365</v>
      </c>
      <c r="E19" s="34" t="str">
        <f t="shared" si="0"/>
        <v>Março</v>
      </c>
      <c r="F19" s="25" t="s">
        <v>300</v>
      </c>
      <c r="G19" s="28">
        <v>15</v>
      </c>
      <c r="H19" s="25" t="s">
        <v>298</v>
      </c>
      <c r="I19" s="25" t="s">
        <v>300</v>
      </c>
      <c r="J19" s="28">
        <v>30</v>
      </c>
      <c r="K19" s="25" t="s">
        <v>300</v>
      </c>
      <c r="L19" s="28">
        <v>20</v>
      </c>
      <c r="M19" s="28">
        <v>7</v>
      </c>
      <c r="N19" s="28">
        <v>58</v>
      </c>
      <c r="O19" s="41">
        <f t="shared" si="4"/>
        <v>1</v>
      </c>
      <c r="P19" s="39">
        <f t="shared" si="1"/>
        <v>30</v>
      </c>
      <c r="Q19" s="41">
        <f t="shared" si="2"/>
        <v>1</v>
      </c>
      <c r="R19" s="39">
        <f t="shared" si="3"/>
        <v>20</v>
      </c>
    </row>
    <row r="20" spans="1:18" ht="16.5" customHeight="1">
      <c r="A20" s="29">
        <v>3249</v>
      </c>
      <c r="B20" s="30" t="s">
        <v>21</v>
      </c>
      <c r="C20" s="30" t="s">
        <v>5</v>
      </c>
      <c r="D20" s="31">
        <v>45366</v>
      </c>
      <c r="E20" s="35" t="str">
        <f t="shared" si="0"/>
        <v>Março</v>
      </c>
      <c r="F20" s="25" t="s">
        <v>301</v>
      </c>
      <c r="G20" s="27">
        <v>10</v>
      </c>
      <c r="H20" s="30" t="s">
        <v>297</v>
      </c>
      <c r="I20" s="25" t="s">
        <v>301</v>
      </c>
      <c r="J20" s="27" t="s">
        <v>283</v>
      </c>
      <c r="K20" s="25" t="s">
        <v>300</v>
      </c>
      <c r="L20" s="27">
        <v>20</v>
      </c>
      <c r="M20" s="27">
        <v>5</v>
      </c>
      <c r="N20" s="27">
        <v>25</v>
      </c>
      <c r="O20" s="41" t="str">
        <f t="shared" si="4"/>
        <v/>
      </c>
      <c r="P20" s="39" t="str">
        <f t="shared" si="1"/>
        <v/>
      </c>
      <c r="Q20" s="41">
        <f t="shared" si="2"/>
        <v>1</v>
      </c>
      <c r="R20" s="39">
        <f t="shared" si="3"/>
        <v>20</v>
      </c>
    </row>
    <row r="21" spans="1:18" ht="16.5" customHeight="1">
      <c r="A21" s="29">
        <v>3250</v>
      </c>
      <c r="B21" s="30" t="s">
        <v>22</v>
      </c>
      <c r="C21" s="30" t="s">
        <v>3</v>
      </c>
      <c r="D21" s="31">
        <v>45367</v>
      </c>
      <c r="E21" s="35" t="str">
        <f t="shared" si="0"/>
        <v>Março</v>
      </c>
      <c r="F21" s="25" t="s">
        <v>300</v>
      </c>
      <c r="G21" s="27">
        <v>5</v>
      </c>
      <c r="H21" s="30" t="s">
        <v>299</v>
      </c>
      <c r="I21" s="25" t="s">
        <v>301</v>
      </c>
      <c r="J21" s="27" t="s">
        <v>283</v>
      </c>
      <c r="K21" s="25" t="s">
        <v>301</v>
      </c>
      <c r="L21" s="27">
        <v>0</v>
      </c>
      <c r="M21" s="27">
        <v>0</v>
      </c>
      <c r="N21" s="27">
        <v>5</v>
      </c>
      <c r="O21" s="41" t="str">
        <f t="shared" si="4"/>
        <v/>
      </c>
      <c r="P21" s="39" t="str">
        <f t="shared" si="1"/>
        <v/>
      </c>
      <c r="Q21" s="41" t="str">
        <f t="shared" si="2"/>
        <v/>
      </c>
      <c r="R21" s="39" t="str">
        <f t="shared" si="3"/>
        <v/>
      </c>
    </row>
    <row r="22" spans="1:18" ht="16.5" customHeight="1">
      <c r="A22" s="24">
        <v>3251</v>
      </c>
      <c r="B22" s="25" t="s">
        <v>23</v>
      </c>
      <c r="C22" s="25" t="s">
        <v>1</v>
      </c>
      <c r="D22" s="26">
        <v>45368</v>
      </c>
      <c r="E22" s="34" t="str">
        <f t="shared" si="0"/>
        <v>Março</v>
      </c>
      <c r="F22" s="25" t="s">
        <v>301</v>
      </c>
      <c r="G22" s="28">
        <v>15</v>
      </c>
      <c r="H22" s="25" t="s">
        <v>297</v>
      </c>
      <c r="I22" s="25" t="s">
        <v>300</v>
      </c>
      <c r="J22" s="28">
        <v>30</v>
      </c>
      <c r="K22" s="25" t="s">
        <v>300</v>
      </c>
      <c r="L22" s="28">
        <v>20</v>
      </c>
      <c r="M22" s="28">
        <v>3</v>
      </c>
      <c r="N22" s="28">
        <v>62</v>
      </c>
      <c r="O22" s="41">
        <f t="shared" si="4"/>
        <v>1</v>
      </c>
      <c r="P22" s="39">
        <f t="shared" si="1"/>
        <v>30</v>
      </c>
      <c r="Q22" s="41">
        <f t="shared" si="2"/>
        <v>1</v>
      </c>
      <c r="R22" s="39">
        <f t="shared" si="3"/>
        <v>20</v>
      </c>
    </row>
    <row r="23" spans="1:18" ht="16.5" customHeight="1">
      <c r="A23" s="29">
        <v>3252</v>
      </c>
      <c r="B23" s="30" t="s">
        <v>24</v>
      </c>
      <c r="C23" s="30" t="s">
        <v>5</v>
      </c>
      <c r="D23" s="31">
        <v>45369</v>
      </c>
      <c r="E23" s="35" t="str">
        <f t="shared" si="0"/>
        <v>Março</v>
      </c>
      <c r="F23" s="25" t="s">
        <v>300</v>
      </c>
      <c r="G23" s="27">
        <v>10</v>
      </c>
      <c r="H23" s="30" t="s">
        <v>298</v>
      </c>
      <c r="I23" s="25" t="s">
        <v>301</v>
      </c>
      <c r="J23" s="27" t="s">
        <v>283</v>
      </c>
      <c r="K23" s="25" t="s">
        <v>300</v>
      </c>
      <c r="L23" s="27">
        <v>20</v>
      </c>
      <c r="M23" s="27">
        <v>15</v>
      </c>
      <c r="N23" s="27">
        <v>15</v>
      </c>
      <c r="O23" s="41" t="str">
        <f t="shared" si="4"/>
        <v/>
      </c>
      <c r="P23" s="39" t="str">
        <f t="shared" si="1"/>
        <v/>
      </c>
      <c r="Q23" s="41">
        <f t="shared" si="2"/>
        <v>1</v>
      </c>
      <c r="R23" s="39">
        <f t="shared" si="3"/>
        <v>20</v>
      </c>
    </row>
    <row r="24" spans="1:18" ht="16.5" customHeight="1">
      <c r="A24" s="29">
        <v>3253</v>
      </c>
      <c r="B24" s="30" t="s">
        <v>25</v>
      </c>
      <c r="C24" s="30" t="s">
        <v>3</v>
      </c>
      <c r="D24" s="31">
        <v>45370</v>
      </c>
      <c r="E24" s="35" t="str">
        <f t="shared" si="0"/>
        <v>Março</v>
      </c>
      <c r="F24" s="25" t="s">
        <v>301</v>
      </c>
      <c r="G24" s="27">
        <v>5</v>
      </c>
      <c r="H24" s="30" t="s">
        <v>297</v>
      </c>
      <c r="I24" s="25" t="s">
        <v>301</v>
      </c>
      <c r="J24" s="27" t="s">
        <v>283</v>
      </c>
      <c r="K24" s="25" t="s">
        <v>301</v>
      </c>
      <c r="L24" s="27">
        <v>0</v>
      </c>
      <c r="M24" s="27">
        <v>1</v>
      </c>
      <c r="N24" s="27">
        <v>4</v>
      </c>
      <c r="O24" s="41" t="str">
        <f t="shared" si="4"/>
        <v/>
      </c>
      <c r="P24" s="39" t="str">
        <f t="shared" si="1"/>
        <v/>
      </c>
      <c r="Q24" s="41" t="str">
        <f t="shared" si="2"/>
        <v/>
      </c>
      <c r="R24" s="39" t="str">
        <f t="shared" si="3"/>
        <v/>
      </c>
    </row>
    <row r="25" spans="1:18" ht="16.5" customHeight="1">
      <c r="A25" s="24">
        <v>3254</v>
      </c>
      <c r="B25" s="25" t="s">
        <v>26</v>
      </c>
      <c r="C25" s="25" t="s">
        <v>1</v>
      </c>
      <c r="D25" s="26">
        <v>45371</v>
      </c>
      <c r="E25" s="34" t="str">
        <f t="shared" si="0"/>
        <v>Março</v>
      </c>
      <c r="F25" s="25" t="s">
        <v>300</v>
      </c>
      <c r="G25" s="28">
        <v>15</v>
      </c>
      <c r="H25" s="25" t="s">
        <v>299</v>
      </c>
      <c r="I25" s="25" t="s">
        <v>300</v>
      </c>
      <c r="J25" s="28">
        <v>30</v>
      </c>
      <c r="K25" s="25" t="s">
        <v>300</v>
      </c>
      <c r="L25" s="28">
        <v>20</v>
      </c>
      <c r="M25" s="28">
        <v>20</v>
      </c>
      <c r="N25" s="28">
        <v>45</v>
      </c>
      <c r="O25" s="41">
        <f t="shared" si="4"/>
        <v>1</v>
      </c>
      <c r="P25" s="39">
        <f t="shared" si="1"/>
        <v>30</v>
      </c>
      <c r="Q25" s="41">
        <f t="shared" si="2"/>
        <v>1</v>
      </c>
      <c r="R25" s="39">
        <f t="shared" si="3"/>
        <v>20</v>
      </c>
    </row>
    <row r="26" spans="1:18" ht="16.5" customHeight="1">
      <c r="A26" s="29">
        <v>3255</v>
      </c>
      <c r="B26" s="30" t="s">
        <v>27</v>
      </c>
      <c r="C26" s="30" t="s">
        <v>5</v>
      </c>
      <c r="D26" s="31">
        <v>45372</v>
      </c>
      <c r="E26" s="35" t="str">
        <f t="shared" si="0"/>
        <v>Março</v>
      </c>
      <c r="F26" s="25" t="s">
        <v>301</v>
      </c>
      <c r="G26" s="27">
        <v>10</v>
      </c>
      <c r="H26" s="30" t="s">
        <v>297</v>
      </c>
      <c r="I26" s="25" t="s">
        <v>301</v>
      </c>
      <c r="J26" s="27" t="s">
        <v>283</v>
      </c>
      <c r="K26" s="25" t="s">
        <v>300</v>
      </c>
      <c r="L26" s="27">
        <v>20</v>
      </c>
      <c r="M26" s="27">
        <v>10</v>
      </c>
      <c r="N26" s="27">
        <v>20</v>
      </c>
      <c r="O26" s="41" t="str">
        <f t="shared" si="4"/>
        <v/>
      </c>
      <c r="P26" s="39" t="str">
        <f t="shared" si="1"/>
        <v/>
      </c>
      <c r="Q26" s="41">
        <f t="shared" si="2"/>
        <v>1</v>
      </c>
      <c r="R26" s="39">
        <f t="shared" si="3"/>
        <v>20</v>
      </c>
    </row>
    <row r="27" spans="1:18" ht="16.5" customHeight="1">
      <c r="A27" s="29">
        <v>3256</v>
      </c>
      <c r="B27" s="30" t="s">
        <v>28</v>
      </c>
      <c r="C27" s="30" t="s">
        <v>3</v>
      </c>
      <c r="D27" s="31">
        <v>45373</v>
      </c>
      <c r="E27" s="35" t="str">
        <f t="shared" si="0"/>
        <v>Março</v>
      </c>
      <c r="F27" s="25" t="s">
        <v>300</v>
      </c>
      <c r="G27" s="27">
        <v>5</v>
      </c>
      <c r="H27" s="30" t="s">
        <v>298</v>
      </c>
      <c r="I27" s="25" t="s">
        <v>301</v>
      </c>
      <c r="J27" s="27" t="s">
        <v>283</v>
      </c>
      <c r="K27" s="25" t="s">
        <v>301</v>
      </c>
      <c r="L27" s="27">
        <v>0</v>
      </c>
      <c r="M27" s="27">
        <v>0</v>
      </c>
      <c r="N27" s="27">
        <v>5</v>
      </c>
      <c r="O27" s="41" t="str">
        <f t="shared" si="4"/>
        <v/>
      </c>
      <c r="P27" s="39" t="str">
        <f t="shared" si="1"/>
        <v/>
      </c>
      <c r="Q27" s="41" t="str">
        <f t="shared" si="2"/>
        <v/>
      </c>
      <c r="R27" s="39" t="str">
        <f t="shared" si="3"/>
        <v/>
      </c>
    </row>
    <row r="28" spans="1:18" ht="16.5" customHeight="1">
      <c r="A28" s="24">
        <v>3257</v>
      </c>
      <c r="B28" s="25" t="s">
        <v>29</v>
      </c>
      <c r="C28" s="25" t="s">
        <v>1</v>
      </c>
      <c r="D28" s="26">
        <v>45374</v>
      </c>
      <c r="E28" s="34" t="str">
        <f t="shared" si="0"/>
        <v>Março</v>
      </c>
      <c r="F28" s="25" t="s">
        <v>301</v>
      </c>
      <c r="G28" s="28">
        <v>15</v>
      </c>
      <c r="H28" s="25" t="s">
        <v>297</v>
      </c>
      <c r="I28" s="25" t="s">
        <v>300</v>
      </c>
      <c r="J28" s="28">
        <v>30</v>
      </c>
      <c r="K28" s="25" t="s">
        <v>300</v>
      </c>
      <c r="L28" s="28">
        <v>20</v>
      </c>
      <c r="M28" s="28">
        <v>5</v>
      </c>
      <c r="N28" s="28">
        <v>60</v>
      </c>
      <c r="O28" s="41">
        <f t="shared" si="4"/>
        <v>1</v>
      </c>
      <c r="P28" s="39">
        <f t="shared" si="1"/>
        <v>30</v>
      </c>
      <c r="Q28" s="41">
        <f t="shared" si="2"/>
        <v>1</v>
      </c>
      <c r="R28" s="39">
        <f t="shared" si="3"/>
        <v>20</v>
      </c>
    </row>
    <row r="29" spans="1:18" ht="16.5" customHeight="1">
      <c r="A29" s="29">
        <v>3258</v>
      </c>
      <c r="B29" s="30" t="s">
        <v>30</v>
      </c>
      <c r="C29" s="30" t="s">
        <v>5</v>
      </c>
      <c r="D29" s="31">
        <v>45375</v>
      </c>
      <c r="E29" s="35" t="str">
        <f t="shared" si="0"/>
        <v>Março</v>
      </c>
      <c r="F29" s="25" t="s">
        <v>300</v>
      </c>
      <c r="G29" s="27">
        <v>10</v>
      </c>
      <c r="H29" s="30" t="s">
        <v>299</v>
      </c>
      <c r="I29" s="25" t="s">
        <v>301</v>
      </c>
      <c r="J29" s="27" t="s">
        <v>283</v>
      </c>
      <c r="K29" s="25" t="s">
        <v>300</v>
      </c>
      <c r="L29" s="27">
        <v>20</v>
      </c>
      <c r="M29" s="27">
        <v>15</v>
      </c>
      <c r="N29" s="27">
        <v>15</v>
      </c>
      <c r="O29" s="41" t="str">
        <f t="shared" si="4"/>
        <v/>
      </c>
      <c r="P29" s="39" t="str">
        <f t="shared" si="1"/>
        <v/>
      </c>
      <c r="Q29" s="41">
        <f t="shared" si="2"/>
        <v>1</v>
      </c>
      <c r="R29" s="39">
        <f t="shared" si="3"/>
        <v>20</v>
      </c>
    </row>
    <row r="30" spans="1:18" ht="16.5" customHeight="1">
      <c r="A30" s="29">
        <v>3259</v>
      </c>
      <c r="B30" s="30" t="s">
        <v>31</v>
      </c>
      <c r="C30" s="30" t="s">
        <v>3</v>
      </c>
      <c r="D30" s="31">
        <v>45376</v>
      </c>
      <c r="E30" s="35" t="str">
        <f t="shared" si="0"/>
        <v>Março</v>
      </c>
      <c r="F30" s="25" t="s">
        <v>301</v>
      </c>
      <c r="G30" s="27">
        <v>5</v>
      </c>
      <c r="H30" s="30" t="s">
        <v>297</v>
      </c>
      <c r="I30" s="25" t="s">
        <v>301</v>
      </c>
      <c r="J30" s="27" t="s">
        <v>283</v>
      </c>
      <c r="K30" s="25" t="s">
        <v>301</v>
      </c>
      <c r="L30" s="27">
        <v>0</v>
      </c>
      <c r="M30" s="27">
        <v>1</v>
      </c>
      <c r="N30" s="27">
        <v>4</v>
      </c>
      <c r="O30" s="41" t="str">
        <f t="shared" si="4"/>
        <v/>
      </c>
      <c r="P30" s="39" t="str">
        <f t="shared" si="1"/>
        <v/>
      </c>
      <c r="Q30" s="41" t="str">
        <f t="shared" si="2"/>
        <v/>
      </c>
      <c r="R30" s="39" t="str">
        <f t="shared" si="3"/>
        <v/>
      </c>
    </row>
    <row r="31" spans="1:18" ht="16.5" customHeight="1">
      <c r="A31" s="24">
        <v>3260</v>
      </c>
      <c r="B31" s="25" t="s">
        <v>32</v>
      </c>
      <c r="C31" s="25" t="s">
        <v>1</v>
      </c>
      <c r="D31" s="26">
        <v>45377</v>
      </c>
      <c r="E31" s="34" t="str">
        <f t="shared" si="0"/>
        <v>Março</v>
      </c>
      <c r="F31" s="25" t="s">
        <v>300</v>
      </c>
      <c r="G31" s="28">
        <v>15</v>
      </c>
      <c r="H31" s="25" t="s">
        <v>298</v>
      </c>
      <c r="I31" s="25" t="s">
        <v>300</v>
      </c>
      <c r="J31" s="28">
        <v>30</v>
      </c>
      <c r="K31" s="25" t="s">
        <v>300</v>
      </c>
      <c r="L31" s="28">
        <v>20</v>
      </c>
      <c r="M31" s="28">
        <v>7</v>
      </c>
      <c r="N31" s="28">
        <v>58</v>
      </c>
      <c r="O31" s="41">
        <f t="shared" si="4"/>
        <v>1</v>
      </c>
      <c r="P31" s="39">
        <f t="shared" si="1"/>
        <v>30</v>
      </c>
      <c r="Q31" s="41">
        <f t="shared" si="2"/>
        <v>1</v>
      </c>
      <c r="R31" s="39">
        <f t="shared" si="3"/>
        <v>20</v>
      </c>
    </row>
    <row r="32" spans="1:18" ht="16.5" customHeight="1">
      <c r="A32" s="29">
        <v>3261</v>
      </c>
      <c r="B32" s="30" t="s">
        <v>33</v>
      </c>
      <c r="C32" s="30" t="s">
        <v>5</v>
      </c>
      <c r="D32" s="31">
        <v>45378</v>
      </c>
      <c r="E32" s="35" t="str">
        <f t="shared" si="0"/>
        <v>Março</v>
      </c>
      <c r="F32" s="25" t="s">
        <v>301</v>
      </c>
      <c r="G32" s="27">
        <v>10</v>
      </c>
      <c r="H32" s="30" t="s">
        <v>297</v>
      </c>
      <c r="I32" s="25" t="s">
        <v>301</v>
      </c>
      <c r="J32" s="27" t="s">
        <v>283</v>
      </c>
      <c r="K32" s="25" t="s">
        <v>300</v>
      </c>
      <c r="L32" s="27">
        <v>20</v>
      </c>
      <c r="M32" s="27">
        <v>10</v>
      </c>
      <c r="N32" s="27">
        <v>20</v>
      </c>
      <c r="O32" s="41" t="str">
        <f t="shared" si="4"/>
        <v/>
      </c>
      <c r="P32" s="39" t="str">
        <f t="shared" si="1"/>
        <v/>
      </c>
      <c r="Q32" s="41">
        <f t="shared" si="2"/>
        <v>1</v>
      </c>
      <c r="R32" s="39">
        <f t="shared" si="3"/>
        <v>20</v>
      </c>
    </row>
    <row r="33" spans="1:18" ht="16.5" customHeight="1">
      <c r="A33" s="29">
        <v>3262</v>
      </c>
      <c r="B33" s="30" t="s">
        <v>34</v>
      </c>
      <c r="C33" s="30" t="s">
        <v>3</v>
      </c>
      <c r="D33" s="31">
        <v>45379</v>
      </c>
      <c r="E33" s="35" t="str">
        <f t="shared" si="0"/>
        <v>Março</v>
      </c>
      <c r="F33" s="25" t="s">
        <v>300</v>
      </c>
      <c r="G33" s="27">
        <v>5</v>
      </c>
      <c r="H33" s="30" t="s">
        <v>299</v>
      </c>
      <c r="I33" s="25" t="s">
        <v>301</v>
      </c>
      <c r="J33" s="27" t="s">
        <v>283</v>
      </c>
      <c r="K33" s="25" t="s">
        <v>301</v>
      </c>
      <c r="L33" s="27">
        <v>0</v>
      </c>
      <c r="M33" s="27">
        <v>0</v>
      </c>
      <c r="N33" s="27">
        <v>5</v>
      </c>
      <c r="O33" s="41" t="str">
        <f t="shared" si="4"/>
        <v/>
      </c>
      <c r="P33" s="39" t="str">
        <f t="shared" si="1"/>
        <v/>
      </c>
      <c r="Q33" s="41" t="str">
        <f t="shared" si="2"/>
        <v/>
      </c>
      <c r="R33" s="39" t="str">
        <f t="shared" si="3"/>
        <v/>
      </c>
    </row>
    <row r="34" spans="1:18" ht="16.5" customHeight="1">
      <c r="A34" s="24">
        <v>3263</v>
      </c>
      <c r="B34" s="25" t="s">
        <v>35</v>
      </c>
      <c r="C34" s="25" t="s">
        <v>1</v>
      </c>
      <c r="D34" s="26">
        <v>45380</v>
      </c>
      <c r="E34" s="34" t="str">
        <f t="shared" si="0"/>
        <v>Março</v>
      </c>
      <c r="F34" s="25" t="s">
        <v>301</v>
      </c>
      <c r="G34" s="28">
        <v>15</v>
      </c>
      <c r="H34" s="25" t="s">
        <v>297</v>
      </c>
      <c r="I34" s="25" t="s">
        <v>300</v>
      </c>
      <c r="J34" s="28">
        <v>30</v>
      </c>
      <c r="K34" s="25" t="s">
        <v>300</v>
      </c>
      <c r="L34" s="28">
        <v>20</v>
      </c>
      <c r="M34" s="28">
        <v>3</v>
      </c>
      <c r="N34" s="28">
        <v>62</v>
      </c>
      <c r="O34" s="41">
        <f t="shared" si="4"/>
        <v>1</v>
      </c>
      <c r="P34" s="39">
        <f t="shared" si="1"/>
        <v>30</v>
      </c>
      <c r="Q34" s="41">
        <f t="shared" si="2"/>
        <v>1</v>
      </c>
      <c r="R34" s="39">
        <f t="shared" si="3"/>
        <v>20</v>
      </c>
    </row>
    <row r="35" spans="1:18" ht="16.5" customHeight="1">
      <c r="A35" s="29">
        <v>3264</v>
      </c>
      <c r="B35" s="30" t="s">
        <v>36</v>
      </c>
      <c r="C35" s="30" t="s">
        <v>5</v>
      </c>
      <c r="D35" s="31">
        <v>45381</v>
      </c>
      <c r="E35" s="35" t="str">
        <f t="shared" si="0"/>
        <v>Março</v>
      </c>
      <c r="F35" s="25" t="s">
        <v>300</v>
      </c>
      <c r="G35" s="27">
        <v>10</v>
      </c>
      <c r="H35" s="30" t="s">
        <v>298</v>
      </c>
      <c r="I35" s="25" t="s">
        <v>301</v>
      </c>
      <c r="J35" s="27" t="s">
        <v>283</v>
      </c>
      <c r="K35" s="25" t="s">
        <v>300</v>
      </c>
      <c r="L35" s="27">
        <v>20</v>
      </c>
      <c r="M35" s="27">
        <v>15</v>
      </c>
      <c r="N35" s="27">
        <v>15</v>
      </c>
      <c r="O35" s="41" t="str">
        <f t="shared" si="4"/>
        <v/>
      </c>
      <c r="P35" s="39" t="str">
        <f t="shared" si="1"/>
        <v/>
      </c>
      <c r="Q35" s="41">
        <f t="shared" si="2"/>
        <v>1</v>
      </c>
      <c r="R35" s="39">
        <f t="shared" si="3"/>
        <v>20</v>
      </c>
    </row>
    <row r="36" spans="1:18" ht="16.5" customHeight="1">
      <c r="A36" s="29">
        <v>3265</v>
      </c>
      <c r="B36" s="30" t="s">
        <v>37</v>
      </c>
      <c r="C36" s="30" t="s">
        <v>3</v>
      </c>
      <c r="D36" s="31">
        <v>45382</v>
      </c>
      <c r="E36" s="35" t="str">
        <f t="shared" si="0"/>
        <v>Março</v>
      </c>
      <c r="F36" s="25" t="s">
        <v>301</v>
      </c>
      <c r="G36" s="27">
        <v>5</v>
      </c>
      <c r="H36" s="30" t="s">
        <v>297</v>
      </c>
      <c r="I36" s="25" t="s">
        <v>301</v>
      </c>
      <c r="J36" s="27" t="s">
        <v>283</v>
      </c>
      <c r="K36" s="25" t="s">
        <v>301</v>
      </c>
      <c r="L36" s="27">
        <v>0</v>
      </c>
      <c r="M36" s="27">
        <v>1</v>
      </c>
      <c r="N36" s="27">
        <v>4</v>
      </c>
      <c r="O36" s="41" t="str">
        <f t="shared" si="4"/>
        <v/>
      </c>
      <c r="P36" s="39" t="str">
        <f t="shared" si="1"/>
        <v/>
      </c>
      <c r="Q36" s="41" t="str">
        <f t="shared" si="2"/>
        <v/>
      </c>
      <c r="R36" s="39" t="str">
        <f t="shared" si="3"/>
        <v/>
      </c>
    </row>
    <row r="37" spans="1:18" ht="16.5" customHeight="1">
      <c r="A37" s="29">
        <v>3266</v>
      </c>
      <c r="B37" s="30" t="s">
        <v>38</v>
      </c>
      <c r="C37" s="30" t="s">
        <v>3</v>
      </c>
      <c r="D37" s="31">
        <v>45383</v>
      </c>
      <c r="E37" s="35" t="str">
        <f t="shared" si="0"/>
        <v>Abril</v>
      </c>
      <c r="F37" s="25" t="s">
        <v>300</v>
      </c>
      <c r="G37" s="27">
        <v>5</v>
      </c>
      <c r="H37" s="30" t="s">
        <v>297</v>
      </c>
      <c r="I37" s="25" t="s">
        <v>301</v>
      </c>
      <c r="J37" s="27" t="s">
        <v>283</v>
      </c>
      <c r="K37" s="25" t="s">
        <v>301</v>
      </c>
      <c r="L37" s="27">
        <v>0</v>
      </c>
      <c r="M37" s="27">
        <v>0</v>
      </c>
      <c r="N37" s="27">
        <v>5</v>
      </c>
      <c r="O37" s="41" t="str">
        <f t="shared" si="4"/>
        <v/>
      </c>
      <c r="P37" s="39" t="str">
        <f t="shared" si="1"/>
        <v/>
      </c>
      <c r="Q37" s="41" t="str">
        <f t="shared" si="2"/>
        <v/>
      </c>
      <c r="R37" s="39" t="str">
        <f t="shared" si="3"/>
        <v/>
      </c>
    </row>
    <row r="38" spans="1:18" ht="16.5" customHeight="1">
      <c r="A38" s="24">
        <v>3267</v>
      </c>
      <c r="B38" s="25" t="s">
        <v>39</v>
      </c>
      <c r="C38" s="25" t="s">
        <v>1</v>
      </c>
      <c r="D38" s="26">
        <v>45384</v>
      </c>
      <c r="E38" s="34" t="str">
        <f t="shared" si="0"/>
        <v>Abril</v>
      </c>
      <c r="F38" s="25" t="s">
        <v>301</v>
      </c>
      <c r="G38" s="28">
        <v>15</v>
      </c>
      <c r="H38" s="25" t="s">
        <v>298</v>
      </c>
      <c r="I38" s="25" t="s">
        <v>300</v>
      </c>
      <c r="J38" s="28">
        <v>30</v>
      </c>
      <c r="K38" s="25" t="s">
        <v>300</v>
      </c>
      <c r="L38" s="28">
        <v>20</v>
      </c>
      <c r="M38" s="28">
        <v>7</v>
      </c>
      <c r="N38" s="28">
        <v>58</v>
      </c>
      <c r="O38" s="41">
        <f t="shared" si="4"/>
        <v>1</v>
      </c>
      <c r="P38" s="39">
        <f t="shared" si="1"/>
        <v>30</v>
      </c>
      <c r="Q38" s="41">
        <f t="shared" si="2"/>
        <v>1</v>
      </c>
      <c r="R38" s="39">
        <f t="shared" si="3"/>
        <v>20</v>
      </c>
    </row>
    <row r="39" spans="1:18" ht="16.5" customHeight="1">
      <c r="A39" s="29">
        <v>3268</v>
      </c>
      <c r="B39" s="30" t="s">
        <v>40</v>
      </c>
      <c r="C39" s="30" t="s">
        <v>5</v>
      </c>
      <c r="D39" s="31">
        <v>45385</v>
      </c>
      <c r="E39" s="35" t="str">
        <f t="shared" si="0"/>
        <v>Abril</v>
      </c>
      <c r="F39" s="25" t="s">
        <v>300</v>
      </c>
      <c r="G39" s="27">
        <v>10</v>
      </c>
      <c r="H39" s="30" t="s">
        <v>299</v>
      </c>
      <c r="I39" s="25" t="s">
        <v>301</v>
      </c>
      <c r="J39" s="27" t="s">
        <v>283</v>
      </c>
      <c r="K39" s="25" t="s">
        <v>300</v>
      </c>
      <c r="L39" s="27">
        <v>20</v>
      </c>
      <c r="M39" s="27">
        <v>10</v>
      </c>
      <c r="N39" s="27">
        <v>20</v>
      </c>
      <c r="O39" s="41" t="str">
        <f t="shared" si="4"/>
        <v/>
      </c>
      <c r="P39" s="39" t="str">
        <f t="shared" si="1"/>
        <v/>
      </c>
      <c r="Q39" s="41">
        <f t="shared" si="2"/>
        <v>1</v>
      </c>
      <c r="R39" s="39">
        <f t="shared" si="3"/>
        <v>20</v>
      </c>
    </row>
    <row r="40" spans="1:18" ht="16.5" customHeight="1">
      <c r="A40" s="29">
        <v>3269</v>
      </c>
      <c r="B40" s="30" t="s">
        <v>41</v>
      </c>
      <c r="C40" s="30" t="s">
        <v>3</v>
      </c>
      <c r="D40" s="31">
        <v>45386</v>
      </c>
      <c r="E40" s="35" t="str">
        <f t="shared" si="0"/>
        <v>Abril</v>
      </c>
      <c r="F40" s="25" t="s">
        <v>301</v>
      </c>
      <c r="G40" s="27">
        <v>5</v>
      </c>
      <c r="H40" s="30" t="s">
        <v>298</v>
      </c>
      <c r="I40" s="25" t="s">
        <v>301</v>
      </c>
      <c r="J40" s="27" t="s">
        <v>283</v>
      </c>
      <c r="K40" s="25" t="s">
        <v>301</v>
      </c>
      <c r="L40" s="27">
        <v>0</v>
      </c>
      <c r="M40" s="27">
        <v>1</v>
      </c>
      <c r="N40" s="27">
        <v>4</v>
      </c>
      <c r="O40" s="41" t="str">
        <f t="shared" si="4"/>
        <v/>
      </c>
      <c r="P40" s="39" t="str">
        <f t="shared" si="1"/>
        <v/>
      </c>
      <c r="Q40" s="41" t="str">
        <f t="shared" si="2"/>
        <v/>
      </c>
      <c r="R40" s="39" t="str">
        <f t="shared" si="3"/>
        <v/>
      </c>
    </row>
    <row r="41" spans="1:18" ht="16.5" customHeight="1">
      <c r="A41" s="24">
        <v>3270</v>
      </c>
      <c r="B41" s="25" t="s">
        <v>42</v>
      </c>
      <c r="C41" s="25" t="s">
        <v>1</v>
      </c>
      <c r="D41" s="26">
        <v>45387</v>
      </c>
      <c r="E41" s="34" t="str">
        <f t="shared" si="0"/>
        <v>Abril</v>
      </c>
      <c r="F41" s="25" t="s">
        <v>300</v>
      </c>
      <c r="G41" s="28">
        <v>15</v>
      </c>
      <c r="H41" s="25" t="s">
        <v>297</v>
      </c>
      <c r="I41" s="25" t="s">
        <v>300</v>
      </c>
      <c r="J41" s="28">
        <v>30</v>
      </c>
      <c r="K41" s="25" t="s">
        <v>300</v>
      </c>
      <c r="L41" s="28">
        <v>20</v>
      </c>
      <c r="M41" s="28">
        <v>15</v>
      </c>
      <c r="N41" s="28">
        <v>50</v>
      </c>
      <c r="O41" s="41">
        <f t="shared" si="4"/>
        <v>1</v>
      </c>
      <c r="P41" s="39">
        <f t="shared" si="1"/>
        <v>30</v>
      </c>
      <c r="Q41" s="41">
        <f t="shared" si="2"/>
        <v>1</v>
      </c>
      <c r="R41" s="39">
        <f t="shared" si="3"/>
        <v>20</v>
      </c>
    </row>
    <row r="42" spans="1:18" ht="16.5" customHeight="1">
      <c r="A42" s="29">
        <v>3271</v>
      </c>
      <c r="B42" s="30" t="s">
        <v>43</v>
      </c>
      <c r="C42" s="30" t="s">
        <v>5</v>
      </c>
      <c r="D42" s="31">
        <v>45388</v>
      </c>
      <c r="E42" s="35" t="str">
        <f t="shared" si="0"/>
        <v>Abril</v>
      </c>
      <c r="F42" s="25" t="s">
        <v>301</v>
      </c>
      <c r="G42" s="27">
        <v>10</v>
      </c>
      <c r="H42" s="30" t="s">
        <v>297</v>
      </c>
      <c r="I42" s="25" t="s">
        <v>301</v>
      </c>
      <c r="J42" s="27" t="s">
        <v>283</v>
      </c>
      <c r="K42" s="25" t="s">
        <v>300</v>
      </c>
      <c r="L42" s="27">
        <v>20</v>
      </c>
      <c r="M42" s="27">
        <v>5</v>
      </c>
      <c r="N42" s="27">
        <v>25</v>
      </c>
      <c r="O42" s="41" t="str">
        <f t="shared" si="4"/>
        <v/>
      </c>
      <c r="P42" s="39" t="str">
        <f t="shared" si="1"/>
        <v/>
      </c>
      <c r="Q42" s="41">
        <f t="shared" si="2"/>
        <v>1</v>
      </c>
      <c r="R42" s="39">
        <f t="shared" si="3"/>
        <v>20</v>
      </c>
    </row>
    <row r="43" spans="1:18" ht="16.5" customHeight="1">
      <c r="A43" s="29">
        <v>3272</v>
      </c>
      <c r="B43" s="30" t="s">
        <v>44</v>
      </c>
      <c r="C43" s="30" t="s">
        <v>3</v>
      </c>
      <c r="D43" s="31">
        <v>45389</v>
      </c>
      <c r="E43" s="35" t="str">
        <f t="shared" si="0"/>
        <v>Abril</v>
      </c>
      <c r="F43" s="25" t="s">
        <v>300</v>
      </c>
      <c r="G43" s="27">
        <v>5</v>
      </c>
      <c r="H43" s="30" t="s">
        <v>299</v>
      </c>
      <c r="I43" s="25" t="s">
        <v>301</v>
      </c>
      <c r="J43" s="27" t="s">
        <v>283</v>
      </c>
      <c r="K43" s="25" t="s">
        <v>301</v>
      </c>
      <c r="L43" s="27">
        <v>0</v>
      </c>
      <c r="M43" s="27">
        <v>0</v>
      </c>
      <c r="N43" s="27">
        <v>5</v>
      </c>
      <c r="O43" s="41" t="str">
        <f t="shared" si="4"/>
        <v/>
      </c>
      <c r="P43" s="39" t="str">
        <f t="shared" si="1"/>
        <v/>
      </c>
      <c r="Q43" s="41" t="str">
        <f t="shared" si="2"/>
        <v/>
      </c>
      <c r="R43" s="39" t="str">
        <f t="shared" si="3"/>
        <v/>
      </c>
    </row>
    <row r="44" spans="1:18" ht="16.5" customHeight="1">
      <c r="A44" s="24">
        <v>3273</v>
      </c>
      <c r="B44" s="25" t="s">
        <v>45</v>
      </c>
      <c r="C44" s="25" t="s">
        <v>1</v>
      </c>
      <c r="D44" s="26">
        <v>45390</v>
      </c>
      <c r="E44" s="34" t="str">
        <f t="shared" si="0"/>
        <v>Abril</v>
      </c>
      <c r="F44" s="25" t="s">
        <v>301</v>
      </c>
      <c r="G44" s="28">
        <v>15</v>
      </c>
      <c r="H44" s="25" t="s">
        <v>298</v>
      </c>
      <c r="I44" s="25" t="s">
        <v>300</v>
      </c>
      <c r="J44" s="28">
        <v>30</v>
      </c>
      <c r="K44" s="25" t="s">
        <v>300</v>
      </c>
      <c r="L44" s="28">
        <v>20</v>
      </c>
      <c r="M44" s="28">
        <v>20</v>
      </c>
      <c r="N44" s="28">
        <v>45</v>
      </c>
      <c r="O44" s="41">
        <f t="shared" si="4"/>
        <v>1</v>
      </c>
      <c r="P44" s="39">
        <f t="shared" si="1"/>
        <v>30</v>
      </c>
      <c r="Q44" s="41">
        <f t="shared" si="2"/>
        <v>1</v>
      </c>
      <c r="R44" s="39">
        <f t="shared" si="3"/>
        <v>20</v>
      </c>
    </row>
    <row r="45" spans="1:18" ht="16.5" customHeight="1">
      <c r="A45" s="29">
        <v>3274</v>
      </c>
      <c r="B45" s="30" t="s">
        <v>46</v>
      </c>
      <c r="C45" s="30" t="s">
        <v>5</v>
      </c>
      <c r="D45" s="31">
        <v>45391</v>
      </c>
      <c r="E45" s="35" t="str">
        <f t="shared" si="0"/>
        <v>Abril</v>
      </c>
      <c r="F45" s="25" t="s">
        <v>300</v>
      </c>
      <c r="G45" s="27">
        <v>10</v>
      </c>
      <c r="H45" s="30" t="s">
        <v>298</v>
      </c>
      <c r="I45" s="25" t="s">
        <v>301</v>
      </c>
      <c r="J45" s="27" t="s">
        <v>283</v>
      </c>
      <c r="K45" s="25" t="s">
        <v>300</v>
      </c>
      <c r="L45" s="27">
        <v>20</v>
      </c>
      <c r="M45" s="27">
        <v>12</v>
      </c>
      <c r="N45" s="27">
        <v>18</v>
      </c>
      <c r="O45" s="41" t="str">
        <f t="shared" si="4"/>
        <v/>
      </c>
      <c r="P45" s="39" t="str">
        <f t="shared" si="1"/>
        <v/>
      </c>
      <c r="Q45" s="41">
        <f t="shared" si="2"/>
        <v>1</v>
      </c>
      <c r="R45" s="39">
        <f t="shared" si="3"/>
        <v>20</v>
      </c>
    </row>
    <row r="46" spans="1:18" ht="16.5" customHeight="1">
      <c r="A46" s="29">
        <v>3275</v>
      </c>
      <c r="B46" s="30" t="s">
        <v>47</v>
      </c>
      <c r="C46" s="30" t="s">
        <v>3</v>
      </c>
      <c r="D46" s="31">
        <v>45392</v>
      </c>
      <c r="E46" s="35" t="str">
        <f t="shared" si="0"/>
        <v>Abril</v>
      </c>
      <c r="F46" s="25" t="s">
        <v>301</v>
      </c>
      <c r="G46" s="27">
        <v>5</v>
      </c>
      <c r="H46" s="30" t="s">
        <v>297</v>
      </c>
      <c r="I46" s="25" t="s">
        <v>301</v>
      </c>
      <c r="J46" s="27" t="s">
        <v>283</v>
      </c>
      <c r="K46" s="25" t="s">
        <v>301</v>
      </c>
      <c r="L46" s="27">
        <v>0</v>
      </c>
      <c r="M46" s="27">
        <v>2</v>
      </c>
      <c r="N46" s="27">
        <v>3</v>
      </c>
      <c r="O46" s="41" t="str">
        <f t="shared" si="4"/>
        <v/>
      </c>
      <c r="P46" s="39" t="str">
        <f t="shared" si="1"/>
        <v/>
      </c>
      <c r="Q46" s="41" t="str">
        <f t="shared" si="2"/>
        <v/>
      </c>
      <c r="R46" s="39" t="str">
        <f t="shared" si="3"/>
        <v/>
      </c>
    </row>
    <row r="47" spans="1:18" ht="16.5" customHeight="1">
      <c r="A47" s="24">
        <v>3276</v>
      </c>
      <c r="B47" s="25" t="s">
        <v>48</v>
      </c>
      <c r="C47" s="25" t="s">
        <v>1</v>
      </c>
      <c r="D47" s="26">
        <v>45393</v>
      </c>
      <c r="E47" s="34" t="str">
        <f t="shared" si="0"/>
        <v>Abril</v>
      </c>
      <c r="F47" s="25" t="s">
        <v>300</v>
      </c>
      <c r="G47" s="28">
        <v>15</v>
      </c>
      <c r="H47" s="25" t="s">
        <v>299</v>
      </c>
      <c r="I47" s="25" t="s">
        <v>300</v>
      </c>
      <c r="J47" s="28">
        <v>30</v>
      </c>
      <c r="K47" s="25" t="s">
        <v>300</v>
      </c>
      <c r="L47" s="28">
        <v>20</v>
      </c>
      <c r="M47" s="28">
        <v>5</v>
      </c>
      <c r="N47" s="28">
        <v>60</v>
      </c>
      <c r="O47" s="41">
        <f t="shared" si="4"/>
        <v>1</v>
      </c>
      <c r="P47" s="39">
        <f t="shared" si="1"/>
        <v>30</v>
      </c>
      <c r="Q47" s="41">
        <f t="shared" si="2"/>
        <v>1</v>
      </c>
      <c r="R47" s="39">
        <f t="shared" si="3"/>
        <v>20</v>
      </c>
    </row>
    <row r="48" spans="1:18" ht="16.5" customHeight="1">
      <c r="A48" s="29">
        <v>3277</v>
      </c>
      <c r="B48" s="30" t="s">
        <v>49</v>
      </c>
      <c r="C48" s="30" t="s">
        <v>5</v>
      </c>
      <c r="D48" s="31">
        <v>45394</v>
      </c>
      <c r="E48" s="35" t="str">
        <f t="shared" si="0"/>
        <v>Abril</v>
      </c>
      <c r="F48" s="25" t="s">
        <v>301</v>
      </c>
      <c r="G48" s="27">
        <v>10</v>
      </c>
      <c r="H48" s="30" t="s">
        <v>297</v>
      </c>
      <c r="I48" s="25" t="s">
        <v>301</v>
      </c>
      <c r="J48" s="27" t="s">
        <v>283</v>
      </c>
      <c r="K48" s="25" t="s">
        <v>300</v>
      </c>
      <c r="L48" s="27">
        <v>20</v>
      </c>
      <c r="M48" s="27">
        <v>10</v>
      </c>
      <c r="N48" s="27">
        <v>20</v>
      </c>
      <c r="O48" s="41" t="str">
        <f t="shared" si="4"/>
        <v/>
      </c>
      <c r="P48" s="39" t="str">
        <f t="shared" si="1"/>
        <v/>
      </c>
      <c r="Q48" s="41">
        <f t="shared" si="2"/>
        <v>1</v>
      </c>
      <c r="R48" s="39">
        <f t="shared" si="3"/>
        <v>20</v>
      </c>
    </row>
    <row r="49" spans="1:18" ht="16.5" customHeight="1">
      <c r="A49" s="29">
        <v>3278</v>
      </c>
      <c r="B49" s="30" t="s">
        <v>50</v>
      </c>
      <c r="C49" s="30" t="s">
        <v>3</v>
      </c>
      <c r="D49" s="31">
        <v>45395</v>
      </c>
      <c r="E49" s="35" t="str">
        <f t="shared" si="0"/>
        <v>Abril</v>
      </c>
      <c r="F49" s="25" t="s">
        <v>300</v>
      </c>
      <c r="G49" s="27">
        <v>5</v>
      </c>
      <c r="H49" s="30" t="s">
        <v>298</v>
      </c>
      <c r="I49" s="25" t="s">
        <v>301</v>
      </c>
      <c r="J49" s="27" t="s">
        <v>283</v>
      </c>
      <c r="K49" s="25" t="s">
        <v>301</v>
      </c>
      <c r="L49" s="27">
        <v>0</v>
      </c>
      <c r="M49" s="27">
        <v>0</v>
      </c>
      <c r="N49" s="27">
        <v>5</v>
      </c>
      <c r="O49" s="41" t="str">
        <f t="shared" si="4"/>
        <v/>
      </c>
      <c r="P49" s="39" t="str">
        <f t="shared" si="1"/>
        <v/>
      </c>
      <c r="Q49" s="41" t="str">
        <f t="shared" si="2"/>
        <v/>
      </c>
      <c r="R49" s="39" t="str">
        <f t="shared" si="3"/>
        <v/>
      </c>
    </row>
    <row r="50" spans="1:18" ht="16.5" customHeight="1">
      <c r="A50" s="24">
        <v>3279</v>
      </c>
      <c r="B50" s="25" t="s">
        <v>51</v>
      </c>
      <c r="C50" s="25" t="s">
        <v>1</v>
      </c>
      <c r="D50" s="26">
        <v>45396</v>
      </c>
      <c r="E50" s="34" t="str">
        <f t="shared" si="0"/>
        <v>Abril</v>
      </c>
      <c r="F50" s="25" t="s">
        <v>301</v>
      </c>
      <c r="G50" s="28">
        <v>15</v>
      </c>
      <c r="H50" s="25" t="s">
        <v>297</v>
      </c>
      <c r="I50" s="25" t="s">
        <v>300</v>
      </c>
      <c r="J50" s="28">
        <v>30</v>
      </c>
      <c r="K50" s="25" t="s">
        <v>300</v>
      </c>
      <c r="L50" s="28">
        <v>20</v>
      </c>
      <c r="M50" s="28">
        <v>3</v>
      </c>
      <c r="N50" s="28">
        <v>62</v>
      </c>
      <c r="O50" s="41">
        <f t="shared" si="4"/>
        <v>1</v>
      </c>
      <c r="P50" s="39">
        <f t="shared" si="1"/>
        <v>30</v>
      </c>
      <c r="Q50" s="41">
        <f t="shared" si="2"/>
        <v>1</v>
      </c>
      <c r="R50" s="39">
        <f t="shared" si="3"/>
        <v>20</v>
      </c>
    </row>
    <row r="51" spans="1:18" ht="16.5" customHeight="1">
      <c r="A51" s="29">
        <v>3280</v>
      </c>
      <c r="B51" s="30" t="s">
        <v>52</v>
      </c>
      <c r="C51" s="30" t="s">
        <v>5</v>
      </c>
      <c r="D51" s="31">
        <v>45397</v>
      </c>
      <c r="E51" s="35" t="str">
        <f t="shared" si="0"/>
        <v>Abril</v>
      </c>
      <c r="F51" s="25" t="s">
        <v>300</v>
      </c>
      <c r="G51" s="27">
        <v>10</v>
      </c>
      <c r="H51" s="30" t="s">
        <v>299</v>
      </c>
      <c r="I51" s="25" t="s">
        <v>301</v>
      </c>
      <c r="J51" s="27" t="s">
        <v>283</v>
      </c>
      <c r="K51" s="25" t="s">
        <v>300</v>
      </c>
      <c r="L51" s="27">
        <v>20</v>
      </c>
      <c r="M51" s="27">
        <v>15</v>
      </c>
      <c r="N51" s="27">
        <v>15</v>
      </c>
      <c r="O51" s="41" t="str">
        <f t="shared" si="4"/>
        <v/>
      </c>
      <c r="P51" s="39" t="str">
        <f t="shared" si="1"/>
        <v/>
      </c>
      <c r="Q51" s="41">
        <f t="shared" si="2"/>
        <v>1</v>
      </c>
      <c r="R51" s="39">
        <f t="shared" si="3"/>
        <v>20</v>
      </c>
    </row>
    <row r="52" spans="1:18" ht="16.5" customHeight="1">
      <c r="A52" s="29">
        <v>3281</v>
      </c>
      <c r="B52" s="30" t="s">
        <v>53</v>
      </c>
      <c r="C52" s="30" t="s">
        <v>3</v>
      </c>
      <c r="D52" s="31">
        <v>45398</v>
      </c>
      <c r="E52" s="35" t="str">
        <f t="shared" si="0"/>
        <v>Abril</v>
      </c>
      <c r="F52" s="25" t="s">
        <v>301</v>
      </c>
      <c r="G52" s="27">
        <v>5</v>
      </c>
      <c r="H52" s="30" t="s">
        <v>297</v>
      </c>
      <c r="I52" s="25" t="s">
        <v>301</v>
      </c>
      <c r="J52" s="27" t="s">
        <v>283</v>
      </c>
      <c r="K52" s="25" t="s">
        <v>301</v>
      </c>
      <c r="L52" s="27">
        <v>0</v>
      </c>
      <c r="M52" s="27">
        <v>1</v>
      </c>
      <c r="N52" s="27">
        <v>4</v>
      </c>
      <c r="O52" s="41" t="str">
        <f t="shared" si="4"/>
        <v/>
      </c>
      <c r="P52" s="39" t="str">
        <f t="shared" si="1"/>
        <v/>
      </c>
      <c r="Q52" s="41" t="str">
        <f t="shared" si="2"/>
        <v/>
      </c>
      <c r="R52" s="39" t="str">
        <f t="shared" si="3"/>
        <v/>
      </c>
    </row>
    <row r="53" spans="1:18" ht="16.5" customHeight="1">
      <c r="A53" s="24">
        <v>3282</v>
      </c>
      <c r="B53" s="25" t="s">
        <v>54</v>
      </c>
      <c r="C53" s="25" t="s">
        <v>1</v>
      </c>
      <c r="D53" s="26">
        <v>45399</v>
      </c>
      <c r="E53" s="34" t="str">
        <f t="shared" si="0"/>
        <v>Abril</v>
      </c>
      <c r="F53" s="25" t="s">
        <v>300</v>
      </c>
      <c r="G53" s="28">
        <v>15</v>
      </c>
      <c r="H53" s="25" t="s">
        <v>298</v>
      </c>
      <c r="I53" s="25" t="s">
        <v>300</v>
      </c>
      <c r="J53" s="28">
        <v>30</v>
      </c>
      <c r="K53" s="25" t="s">
        <v>300</v>
      </c>
      <c r="L53" s="28">
        <v>20</v>
      </c>
      <c r="M53" s="28">
        <v>7</v>
      </c>
      <c r="N53" s="28">
        <v>58</v>
      </c>
      <c r="O53" s="41">
        <f t="shared" si="4"/>
        <v>1</v>
      </c>
      <c r="P53" s="39">
        <f t="shared" si="1"/>
        <v>30</v>
      </c>
      <c r="Q53" s="41">
        <f t="shared" si="2"/>
        <v>1</v>
      </c>
      <c r="R53" s="39">
        <f t="shared" si="3"/>
        <v>20</v>
      </c>
    </row>
    <row r="54" spans="1:18" ht="16.5" customHeight="1">
      <c r="A54" s="29">
        <v>3283</v>
      </c>
      <c r="B54" s="30" t="s">
        <v>55</v>
      </c>
      <c r="C54" s="30" t="s">
        <v>5</v>
      </c>
      <c r="D54" s="31">
        <v>45400</v>
      </c>
      <c r="E54" s="35" t="str">
        <f t="shared" si="0"/>
        <v>Abril</v>
      </c>
      <c r="F54" s="25" t="s">
        <v>301</v>
      </c>
      <c r="G54" s="27">
        <v>10</v>
      </c>
      <c r="H54" s="30" t="s">
        <v>297</v>
      </c>
      <c r="I54" s="25" t="s">
        <v>301</v>
      </c>
      <c r="J54" s="27" t="s">
        <v>283</v>
      </c>
      <c r="K54" s="25" t="s">
        <v>300</v>
      </c>
      <c r="L54" s="27">
        <v>20</v>
      </c>
      <c r="M54" s="27">
        <v>10</v>
      </c>
      <c r="N54" s="27">
        <v>20</v>
      </c>
      <c r="O54" s="41" t="str">
        <f t="shared" si="4"/>
        <v/>
      </c>
      <c r="P54" s="39" t="str">
        <f t="shared" si="1"/>
        <v/>
      </c>
      <c r="Q54" s="41">
        <f t="shared" si="2"/>
        <v>1</v>
      </c>
      <c r="R54" s="39">
        <f t="shared" si="3"/>
        <v>20</v>
      </c>
    </row>
    <row r="55" spans="1:18" ht="16.5" customHeight="1">
      <c r="A55" s="29">
        <v>3284</v>
      </c>
      <c r="B55" s="30" t="s">
        <v>56</v>
      </c>
      <c r="C55" s="30" t="s">
        <v>3</v>
      </c>
      <c r="D55" s="31">
        <v>45401</v>
      </c>
      <c r="E55" s="35" t="str">
        <f t="shared" si="0"/>
        <v>Abril</v>
      </c>
      <c r="F55" s="25" t="s">
        <v>300</v>
      </c>
      <c r="G55" s="27">
        <v>5</v>
      </c>
      <c r="H55" s="30" t="s">
        <v>299</v>
      </c>
      <c r="I55" s="25" t="s">
        <v>301</v>
      </c>
      <c r="J55" s="27" t="s">
        <v>283</v>
      </c>
      <c r="K55" s="25" t="s">
        <v>301</v>
      </c>
      <c r="L55" s="27">
        <v>0</v>
      </c>
      <c r="M55" s="27">
        <v>0</v>
      </c>
      <c r="N55" s="27">
        <v>5</v>
      </c>
      <c r="O55" s="41" t="str">
        <f t="shared" si="4"/>
        <v/>
      </c>
      <c r="P55" s="39" t="str">
        <f t="shared" si="1"/>
        <v/>
      </c>
      <c r="Q55" s="41" t="str">
        <f t="shared" si="2"/>
        <v/>
      </c>
      <c r="R55" s="39" t="str">
        <f t="shared" si="3"/>
        <v/>
      </c>
    </row>
    <row r="56" spans="1:18" ht="16.5" customHeight="1">
      <c r="A56" s="24">
        <v>3285</v>
      </c>
      <c r="B56" s="25" t="s">
        <v>57</v>
      </c>
      <c r="C56" s="25" t="s">
        <v>1</v>
      </c>
      <c r="D56" s="26">
        <v>45402</v>
      </c>
      <c r="E56" s="34" t="str">
        <f t="shared" si="0"/>
        <v>Abril</v>
      </c>
      <c r="F56" s="25" t="s">
        <v>301</v>
      </c>
      <c r="G56" s="28">
        <v>15</v>
      </c>
      <c r="H56" s="25" t="s">
        <v>297</v>
      </c>
      <c r="I56" s="25" t="s">
        <v>300</v>
      </c>
      <c r="J56" s="28">
        <v>30</v>
      </c>
      <c r="K56" s="25" t="s">
        <v>300</v>
      </c>
      <c r="L56" s="28">
        <v>20</v>
      </c>
      <c r="M56" s="28">
        <v>20</v>
      </c>
      <c r="N56" s="28">
        <v>45</v>
      </c>
      <c r="O56" s="41">
        <f t="shared" si="4"/>
        <v>1</v>
      </c>
      <c r="P56" s="39">
        <f t="shared" si="1"/>
        <v>30</v>
      </c>
      <c r="Q56" s="41">
        <f t="shared" si="2"/>
        <v>1</v>
      </c>
      <c r="R56" s="39">
        <f t="shared" si="3"/>
        <v>20</v>
      </c>
    </row>
    <row r="57" spans="1:18" ht="16.5" customHeight="1">
      <c r="A57" s="29">
        <v>3286</v>
      </c>
      <c r="B57" s="30" t="s">
        <v>58</v>
      </c>
      <c r="C57" s="30" t="s">
        <v>5</v>
      </c>
      <c r="D57" s="31">
        <v>45403</v>
      </c>
      <c r="E57" s="35" t="str">
        <f t="shared" si="0"/>
        <v>Abril</v>
      </c>
      <c r="F57" s="25" t="s">
        <v>300</v>
      </c>
      <c r="G57" s="27">
        <v>10</v>
      </c>
      <c r="H57" s="30" t="s">
        <v>298</v>
      </c>
      <c r="I57" s="25" t="s">
        <v>301</v>
      </c>
      <c r="J57" s="27" t="s">
        <v>283</v>
      </c>
      <c r="K57" s="25" t="s">
        <v>300</v>
      </c>
      <c r="L57" s="27">
        <v>20</v>
      </c>
      <c r="M57" s="27">
        <v>15</v>
      </c>
      <c r="N57" s="27">
        <v>15</v>
      </c>
      <c r="O57" s="41" t="str">
        <f t="shared" si="4"/>
        <v/>
      </c>
      <c r="P57" s="39" t="str">
        <f t="shared" si="1"/>
        <v/>
      </c>
      <c r="Q57" s="41">
        <f t="shared" si="2"/>
        <v>1</v>
      </c>
      <c r="R57" s="39">
        <f t="shared" si="3"/>
        <v>20</v>
      </c>
    </row>
    <row r="58" spans="1:18" ht="16.5" customHeight="1">
      <c r="A58" s="29">
        <v>3287</v>
      </c>
      <c r="B58" s="30" t="s">
        <v>59</v>
      </c>
      <c r="C58" s="30" t="s">
        <v>3</v>
      </c>
      <c r="D58" s="31">
        <v>45404</v>
      </c>
      <c r="E58" s="35" t="str">
        <f t="shared" si="0"/>
        <v>Abril</v>
      </c>
      <c r="F58" s="25" t="s">
        <v>301</v>
      </c>
      <c r="G58" s="27">
        <v>5</v>
      </c>
      <c r="H58" s="30" t="s">
        <v>297</v>
      </c>
      <c r="I58" s="25" t="s">
        <v>301</v>
      </c>
      <c r="J58" s="27" t="s">
        <v>283</v>
      </c>
      <c r="K58" s="25" t="s">
        <v>301</v>
      </c>
      <c r="L58" s="27">
        <v>0</v>
      </c>
      <c r="M58" s="27">
        <v>1</v>
      </c>
      <c r="N58" s="27">
        <v>4</v>
      </c>
      <c r="O58" s="41" t="str">
        <f t="shared" si="4"/>
        <v/>
      </c>
      <c r="P58" s="39" t="str">
        <f t="shared" si="1"/>
        <v/>
      </c>
      <c r="Q58" s="41" t="str">
        <f t="shared" si="2"/>
        <v/>
      </c>
      <c r="R58" s="39" t="str">
        <f t="shared" si="3"/>
        <v/>
      </c>
    </row>
    <row r="59" spans="1:18" ht="16.5" customHeight="1">
      <c r="A59" s="24">
        <v>3288</v>
      </c>
      <c r="B59" s="25" t="s">
        <v>60</v>
      </c>
      <c r="C59" s="25" t="s">
        <v>1</v>
      </c>
      <c r="D59" s="26">
        <v>45405</v>
      </c>
      <c r="E59" s="34" t="str">
        <f t="shared" si="0"/>
        <v>Abril</v>
      </c>
      <c r="F59" s="25" t="s">
        <v>300</v>
      </c>
      <c r="G59" s="28">
        <v>15</v>
      </c>
      <c r="H59" s="25" t="s">
        <v>299</v>
      </c>
      <c r="I59" s="25" t="s">
        <v>300</v>
      </c>
      <c r="J59" s="28">
        <v>30</v>
      </c>
      <c r="K59" s="25" t="s">
        <v>300</v>
      </c>
      <c r="L59" s="28">
        <v>20</v>
      </c>
      <c r="M59" s="28">
        <v>3</v>
      </c>
      <c r="N59" s="28">
        <v>62</v>
      </c>
      <c r="O59" s="41">
        <f t="shared" si="4"/>
        <v>1</v>
      </c>
      <c r="P59" s="39">
        <f t="shared" si="1"/>
        <v>30</v>
      </c>
      <c r="Q59" s="41">
        <f t="shared" si="2"/>
        <v>1</v>
      </c>
      <c r="R59" s="39">
        <f t="shared" si="3"/>
        <v>20</v>
      </c>
    </row>
    <row r="60" spans="1:18" ht="16.5" customHeight="1">
      <c r="A60" s="29">
        <v>3289</v>
      </c>
      <c r="B60" s="30" t="s">
        <v>61</v>
      </c>
      <c r="C60" s="30" t="s">
        <v>5</v>
      </c>
      <c r="D60" s="31">
        <v>45406</v>
      </c>
      <c r="E60" s="35" t="str">
        <f t="shared" si="0"/>
        <v>Abril</v>
      </c>
      <c r="F60" s="25" t="s">
        <v>301</v>
      </c>
      <c r="G60" s="27">
        <v>10</v>
      </c>
      <c r="H60" s="30" t="s">
        <v>297</v>
      </c>
      <c r="I60" s="25" t="s">
        <v>301</v>
      </c>
      <c r="J60" s="27" t="s">
        <v>283</v>
      </c>
      <c r="K60" s="25" t="s">
        <v>300</v>
      </c>
      <c r="L60" s="27">
        <v>20</v>
      </c>
      <c r="M60" s="27">
        <v>10</v>
      </c>
      <c r="N60" s="27">
        <v>20</v>
      </c>
      <c r="O60" s="41" t="str">
        <f t="shared" si="4"/>
        <v/>
      </c>
      <c r="P60" s="39" t="str">
        <f t="shared" si="1"/>
        <v/>
      </c>
      <c r="Q60" s="41">
        <f t="shared" si="2"/>
        <v>1</v>
      </c>
      <c r="R60" s="39">
        <f t="shared" si="3"/>
        <v>20</v>
      </c>
    </row>
    <row r="61" spans="1:18" ht="16.5" customHeight="1">
      <c r="A61" s="29">
        <v>3290</v>
      </c>
      <c r="B61" s="30" t="s">
        <v>62</v>
      </c>
      <c r="C61" s="30" t="s">
        <v>3</v>
      </c>
      <c r="D61" s="31">
        <v>45407</v>
      </c>
      <c r="E61" s="35" t="str">
        <f t="shared" si="0"/>
        <v>Abril</v>
      </c>
      <c r="F61" s="25" t="s">
        <v>300</v>
      </c>
      <c r="G61" s="27">
        <v>5</v>
      </c>
      <c r="H61" s="30" t="s">
        <v>298</v>
      </c>
      <c r="I61" s="25" t="s">
        <v>301</v>
      </c>
      <c r="J61" s="27" t="s">
        <v>283</v>
      </c>
      <c r="K61" s="25" t="s">
        <v>301</v>
      </c>
      <c r="L61" s="27">
        <v>0</v>
      </c>
      <c r="M61" s="27">
        <v>0</v>
      </c>
      <c r="N61" s="27">
        <v>5</v>
      </c>
      <c r="O61" s="41" t="str">
        <f t="shared" si="4"/>
        <v/>
      </c>
      <c r="P61" s="39" t="str">
        <f t="shared" si="1"/>
        <v/>
      </c>
      <c r="Q61" s="41" t="str">
        <f t="shared" si="2"/>
        <v/>
      </c>
      <c r="R61" s="39" t="str">
        <f t="shared" si="3"/>
        <v/>
      </c>
    </row>
    <row r="62" spans="1:18" ht="16.5" customHeight="1">
      <c r="A62" s="24">
        <v>3291</v>
      </c>
      <c r="B62" s="25" t="s">
        <v>63</v>
      </c>
      <c r="C62" s="25" t="s">
        <v>1</v>
      </c>
      <c r="D62" s="26">
        <v>45408</v>
      </c>
      <c r="E62" s="34" t="str">
        <f t="shared" si="0"/>
        <v>Abril</v>
      </c>
      <c r="F62" s="25" t="s">
        <v>301</v>
      </c>
      <c r="G62" s="28">
        <v>15</v>
      </c>
      <c r="H62" s="25" t="s">
        <v>297</v>
      </c>
      <c r="I62" s="25" t="s">
        <v>300</v>
      </c>
      <c r="J62" s="28">
        <v>30</v>
      </c>
      <c r="K62" s="25" t="s">
        <v>300</v>
      </c>
      <c r="L62" s="28">
        <v>20</v>
      </c>
      <c r="M62" s="28">
        <v>5</v>
      </c>
      <c r="N62" s="28">
        <v>60</v>
      </c>
      <c r="O62" s="41">
        <f t="shared" si="4"/>
        <v>1</v>
      </c>
      <c r="P62" s="39">
        <f t="shared" si="1"/>
        <v>30</v>
      </c>
      <c r="Q62" s="41">
        <f t="shared" si="2"/>
        <v>1</v>
      </c>
      <c r="R62" s="39">
        <f t="shared" si="3"/>
        <v>20</v>
      </c>
    </row>
    <row r="63" spans="1:18" ht="16.5" customHeight="1">
      <c r="A63" s="29">
        <v>3292</v>
      </c>
      <c r="B63" s="30" t="s">
        <v>64</v>
      </c>
      <c r="C63" s="30" t="s">
        <v>5</v>
      </c>
      <c r="D63" s="31">
        <v>45409</v>
      </c>
      <c r="E63" s="35" t="str">
        <f t="shared" si="0"/>
        <v>Abril</v>
      </c>
      <c r="F63" s="25" t="s">
        <v>300</v>
      </c>
      <c r="G63" s="27">
        <v>10</v>
      </c>
      <c r="H63" s="30" t="s">
        <v>299</v>
      </c>
      <c r="I63" s="25" t="s">
        <v>301</v>
      </c>
      <c r="J63" s="27" t="s">
        <v>283</v>
      </c>
      <c r="K63" s="25" t="s">
        <v>300</v>
      </c>
      <c r="L63" s="27">
        <v>20</v>
      </c>
      <c r="M63" s="27">
        <v>15</v>
      </c>
      <c r="N63" s="27">
        <v>15</v>
      </c>
      <c r="O63" s="41" t="str">
        <f t="shared" si="4"/>
        <v/>
      </c>
      <c r="P63" s="39" t="str">
        <f t="shared" si="1"/>
        <v/>
      </c>
      <c r="Q63" s="41">
        <f t="shared" si="2"/>
        <v>1</v>
      </c>
      <c r="R63" s="39">
        <f t="shared" si="3"/>
        <v>20</v>
      </c>
    </row>
    <row r="64" spans="1:18" ht="16.5" customHeight="1">
      <c r="A64" s="29">
        <v>3293</v>
      </c>
      <c r="B64" s="30" t="s">
        <v>65</v>
      </c>
      <c r="C64" s="30" t="s">
        <v>3</v>
      </c>
      <c r="D64" s="31">
        <v>45410</v>
      </c>
      <c r="E64" s="35" t="str">
        <f t="shared" si="0"/>
        <v>Abril</v>
      </c>
      <c r="F64" s="25" t="s">
        <v>301</v>
      </c>
      <c r="G64" s="27">
        <v>5</v>
      </c>
      <c r="H64" s="30" t="s">
        <v>297</v>
      </c>
      <c r="I64" s="25" t="s">
        <v>301</v>
      </c>
      <c r="J64" s="27" t="s">
        <v>283</v>
      </c>
      <c r="K64" s="25" t="s">
        <v>301</v>
      </c>
      <c r="L64" s="27">
        <v>0</v>
      </c>
      <c r="M64" s="27">
        <v>1</v>
      </c>
      <c r="N64" s="27">
        <v>4</v>
      </c>
      <c r="O64" s="41" t="str">
        <f t="shared" si="4"/>
        <v/>
      </c>
      <c r="P64" s="39" t="str">
        <f t="shared" si="1"/>
        <v/>
      </c>
      <c r="Q64" s="41" t="str">
        <f t="shared" si="2"/>
        <v/>
      </c>
      <c r="R64" s="39" t="str">
        <f t="shared" si="3"/>
        <v/>
      </c>
    </row>
    <row r="65" spans="1:18" ht="16.5" customHeight="1">
      <c r="A65" s="24">
        <v>3294</v>
      </c>
      <c r="B65" s="25" t="s">
        <v>66</v>
      </c>
      <c r="C65" s="25" t="s">
        <v>1</v>
      </c>
      <c r="D65" s="26">
        <v>45411</v>
      </c>
      <c r="E65" s="34" t="str">
        <f t="shared" si="0"/>
        <v>Abril</v>
      </c>
      <c r="F65" s="25" t="s">
        <v>300</v>
      </c>
      <c r="G65" s="28">
        <v>15</v>
      </c>
      <c r="H65" s="25" t="s">
        <v>298</v>
      </c>
      <c r="I65" s="25" t="s">
        <v>300</v>
      </c>
      <c r="J65" s="28">
        <v>30</v>
      </c>
      <c r="K65" s="25" t="s">
        <v>300</v>
      </c>
      <c r="L65" s="28">
        <v>20</v>
      </c>
      <c r="M65" s="28">
        <v>20</v>
      </c>
      <c r="N65" s="28">
        <v>45</v>
      </c>
      <c r="O65" s="41">
        <f t="shared" si="4"/>
        <v>1</v>
      </c>
      <c r="P65" s="39">
        <f t="shared" si="1"/>
        <v>30</v>
      </c>
      <c r="Q65" s="41">
        <f t="shared" si="2"/>
        <v>1</v>
      </c>
      <c r="R65" s="39">
        <f t="shared" si="3"/>
        <v>20</v>
      </c>
    </row>
    <row r="66" spans="1:18" ht="16.5" customHeight="1">
      <c r="A66" s="29">
        <v>3295</v>
      </c>
      <c r="B66" s="30" t="s">
        <v>67</v>
      </c>
      <c r="C66" s="30" t="s">
        <v>5</v>
      </c>
      <c r="D66" s="31">
        <v>45412</v>
      </c>
      <c r="E66" s="35" t="str">
        <f t="shared" ref="E66:E129" si="5">PROPER(TEXT($D66,"mmmm"))</f>
        <v>Abril</v>
      </c>
      <c r="F66" s="25" t="s">
        <v>301</v>
      </c>
      <c r="G66" s="27">
        <v>10</v>
      </c>
      <c r="H66" s="30" t="s">
        <v>297</v>
      </c>
      <c r="I66" s="25" t="s">
        <v>301</v>
      </c>
      <c r="J66" s="27" t="s">
        <v>283</v>
      </c>
      <c r="K66" s="25" t="s">
        <v>300</v>
      </c>
      <c r="L66" s="27">
        <v>20</v>
      </c>
      <c r="M66" s="27">
        <v>5</v>
      </c>
      <c r="N66" s="27">
        <v>25</v>
      </c>
      <c r="O66" s="41" t="str">
        <f t="shared" ref="O66:O129" si="6">IF($I66="Sim",1,"")</f>
        <v/>
      </c>
      <c r="P66" s="39" t="str">
        <f t="shared" ref="P66:P129" si="7">IF($I66="Sim",$J66,"")</f>
        <v/>
      </c>
      <c r="Q66" s="41">
        <f t="shared" ref="Q66:Q129" si="8">IF($K66="Sim",1,"")</f>
        <v>1</v>
      </c>
      <c r="R66" s="39">
        <f t="shared" ref="R66:R129" si="9">IF($K66="Sim",$L66,"")</f>
        <v>20</v>
      </c>
    </row>
    <row r="67" spans="1:18" ht="16.5" customHeight="1">
      <c r="A67" s="29">
        <v>3296</v>
      </c>
      <c r="B67" s="30" t="s">
        <v>68</v>
      </c>
      <c r="C67" s="30" t="s">
        <v>3</v>
      </c>
      <c r="D67" s="31">
        <v>45413</v>
      </c>
      <c r="E67" s="35" t="str">
        <f t="shared" si="5"/>
        <v>Maio</v>
      </c>
      <c r="F67" s="25" t="s">
        <v>301</v>
      </c>
      <c r="G67" s="27">
        <v>5</v>
      </c>
      <c r="H67" s="30" t="s">
        <v>297</v>
      </c>
      <c r="I67" s="25" t="s">
        <v>301</v>
      </c>
      <c r="J67" s="27" t="s">
        <v>283</v>
      </c>
      <c r="K67" s="25" t="s">
        <v>301</v>
      </c>
      <c r="L67" s="27">
        <v>0</v>
      </c>
      <c r="M67" s="27">
        <v>0</v>
      </c>
      <c r="N67" s="27">
        <v>5</v>
      </c>
      <c r="O67" s="41" t="str">
        <f t="shared" si="6"/>
        <v/>
      </c>
      <c r="P67" s="39" t="str">
        <f t="shared" si="7"/>
        <v/>
      </c>
      <c r="Q67" s="41" t="str">
        <f t="shared" si="8"/>
        <v/>
      </c>
      <c r="R67" s="39" t="str">
        <f t="shared" si="9"/>
        <v/>
      </c>
    </row>
    <row r="68" spans="1:18" ht="16.5" customHeight="1">
      <c r="A68" s="24">
        <v>3297</v>
      </c>
      <c r="B68" s="25" t="s">
        <v>69</v>
      </c>
      <c r="C68" s="25" t="s">
        <v>1</v>
      </c>
      <c r="D68" s="26">
        <v>45414</v>
      </c>
      <c r="E68" s="34" t="str">
        <f t="shared" si="5"/>
        <v>Maio</v>
      </c>
      <c r="F68" s="25" t="s">
        <v>300</v>
      </c>
      <c r="G68" s="28">
        <v>15</v>
      </c>
      <c r="H68" s="25" t="s">
        <v>298</v>
      </c>
      <c r="I68" s="25" t="s">
        <v>300</v>
      </c>
      <c r="J68" s="28">
        <v>30</v>
      </c>
      <c r="K68" s="25" t="s">
        <v>300</v>
      </c>
      <c r="L68" s="28">
        <v>20</v>
      </c>
      <c r="M68" s="28">
        <v>7</v>
      </c>
      <c r="N68" s="28">
        <v>58</v>
      </c>
      <c r="O68" s="41">
        <f t="shared" si="6"/>
        <v>1</v>
      </c>
      <c r="P68" s="39">
        <f t="shared" si="7"/>
        <v>30</v>
      </c>
      <c r="Q68" s="41">
        <f t="shared" si="8"/>
        <v>1</v>
      </c>
      <c r="R68" s="39">
        <f t="shared" si="9"/>
        <v>20</v>
      </c>
    </row>
    <row r="69" spans="1:18" ht="16.5" customHeight="1">
      <c r="A69" s="29">
        <v>3298</v>
      </c>
      <c r="B69" s="30" t="s">
        <v>70</v>
      </c>
      <c r="C69" s="30" t="s">
        <v>5</v>
      </c>
      <c r="D69" s="31">
        <v>45415</v>
      </c>
      <c r="E69" s="35" t="str">
        <f t="shared" si="5"/>
        <v>Maio</v>
      </c>
      <c r="F69" s="25" t="s">
        <v>301</v>
      </c>
      <c r="G69" s="27">
        <v>10</v>
      </c>
      <c r="H69" s="30" t="s">
        <v>299</v>
      </c>
      <c r="I69" s="25" t="s">
        <v>301</v>
      </c>
      <c r="J69" s="27" t="s">
        <v>283</v>
      </c>
      <c r="K69" s="25" t="s">
        <v>300</v>
      </c>
      <c r="L69" s="27">
        <v>20</v>
      </c>
      <c r="M69" s="27">
        <v>10</v>
      </c>
      <c r="N69" s="27">
        <v>20</v>
      </c>
      <c r="O69" s="41" t="str">
        <f t="shared" si="6"/>
        <v/>
      </c>
      <c r="P69" s="39" t="str">
        <f t="shared" si="7"/>
        <v/>
      </c>
      <c r="Q69" s="41">
        <f t="shared" si="8"/>
        <v>1</v>
      </c>
      <c r="R69" s="39">
        <f t="shared" si="9"/>
        <v>20</v>
      </c>
    </row>
    <row r="70" spans="1:18" ht="16.5" customHeight="1">
      <c r="A70" s="29">
        <v>3299</v>
      </c>
      <c r="B70" s="30" t="s">
        <v>71</v>
      </c>
      <c r="C70" s="30" t="s">
        <v>3</v>
      </c>
      <c r="D70" s="31">
        <v>45416</v>
      </c>
      <c r="E70" s="35" t="str">
        <f t="shared" si="5"/>
        <v>Maio</v>
      </c>
      <c r="F70" s="25" t="s">
        <v>300</v>
      </c>
      <c r="G70" s="27">
        <v>5</v>
      </c>
      <c r="H70" s="30" t="s">
        <v>298</v>
      </c>
      <c r="I70" s="25" t="s">
        <v>301</v>
      </c>
      <c r="J70" s="27" t="s">
        <v>283</v>
      </c>
      <c r="K70" s="25" t="s">
        <v>301</v>
      </c>
      <c r="L70" s="27">
        <v>0</v>
      </c>
      <c r="M70" s="27">
        <v>1</v>
      </c>
      <c r="N70" s="27">
        <v>4</v>
      </c>
      <c r="O70" s="41" t="str">
        <f t="shared" si="6"/>
        <v/>
      </c>
      <c r="P70" s="39" t="str">
        <f t="shared" si="7"/>
        <v/>
      </c>
      <c r="Q70" s="41" t="str">
        <f t="shared" si="8"/>
        <v/>
      </c>
      <c r="R70" s="39" t="str">
        <f t="shared" si="9"/>
        <v/>
      </c>
    </row>
    <row r="71" spans="1:18" ht="16.5" customHeight="1">
      <c r="A71" s="24">
        <v>3300</v>
      </c>
      <c r="B71" s="25" t="s">
        <v>72</v>
      </c>
      <c r="C71" s="25" t="s">
        <v>1</v>
      </c>
      <c r="D71" s="26">
        <v>45417</v>
      </c>
      <c r="E71" s="34" t="str">
        <f t="shared" si="5"/>
        <v>Maio</v>
      </c>
      <c r="F71" s="25" t="s">
        <v>301</v>
      </c>
      <c r="G71" s="28">
        <v>15</v>
      </c>
      <c r="H71" s="25" t="s">
        <v>297</v>
      </c>
      <c r="I71" s="25" t="s">
        <v>300</v>
      </c>
      <c r="J71" s="28">
        <v>30</v>
      </c>
      <c r="K71" s="25" t="s">
        <v>300</v>
      </c>
      <c r="L71" s="28">
        <v>20</v>
      </c>
      <c r="M71" s="28">
        <v>15</v>
      </c>
      <c r="N71" s="28">
        <v>50</v>
      </c>
      <c r="O71" s="41">
        <f t="shared" si="6"/>
        <v>1</v>
      </c>
      <c r="P71" s="39">
        <f t="shared" si="7"/>
        <v>30</v>
      </c>
      <c r="Q71" s="41">
        <f t="shared" si="8"/>
        <v>1</v>
      </c>
      <c r="R71" s="39">
        <f t="shared" si="9"/>
        <v>20</v>
      </c>
    </row>
    <row r="72" spans="1:18" ht="16.5" customHeight="1">
      <c r="A72" s="29">
        <v>3301</v>
      </c>
      <c r="B72" s="30" t="s">
        <v>73</v>
      </c>
      <c r="C72" s="30" t="s">
        <v>5</v>
      </c>
      <c r="D72" s="31">
        <v>45418</v>
      </c>
      <c r="E72" s="35" t="str">
        <f t="shared" si="5"/>
        <v>Maio</v>
      </c>
      <c r="F72" s="25" t="s">
        <v>300</v>
      </c>
      <c r="G72" s="27">
        <v>10</v>
      </c>
      <c r="H72" s="30" t="s">
        <v>297</v>
      </c>
      <c r="I72" s="25" t="s">
        <v>301</v>
      </c>
      <c r="J72" s="27" t="s">
        <v>283</v>
      </c>
      <c r="K72" s="25" t="s">
        <v>300</v>
      </c>
      <c r="L72" s="27">
        <v>20</v>
      </c>
      <c r="M72" s="27">
        <v>5</v>
      </c>
      <c r="N72" s="27">
        <v>25</v>
      </c>
      <c r="O72" s="41" t="str">
        <f t="shared" si="6"/>
        <v/>
      </c>
      <c r="P72" s="39" t="str">
        <f t="shared" si="7"/>
        <v/>
      </c>
      <c r="Q72" s="41">
        <f t="shared" si="8"/>
        <v>1</v>
      </c>
      <c r="R72" s="39">
        <f t="shared" si="9"/>
        <v>20</v>
      </c>
    </row>
    <row r="73" spans="1:18" ht="16.5" customHeight="1">
      <c r="A73" s="29">
        <v>3302</v>
      </c>
      <c r="B73" s="30" t="s">
        <v>74</v>
      </c>
      <c r="C73" s="30" t="s">
        <v>3</v>
      </c>
      <c r="D73" s="31">
        <v>45419</v>
      </c>
      <c r="E73" s="35" t="str">
        <f t="shared" si="5"/>
        <v>Maio</v>
      </c>
      <c r="F73" s="25" t="s">
        <v>301</v>
      </c>
      <c r="G73" s="27">
        <v>5</v>
      </c>
      <c r="H73" s="30" t="s">
        <v>299</v>
      </c>
      <c r="I73" s="25" t="s">
        <v>301</v>
      </c>
      <c r="J73" s="27" t="s">
        <v>283</v>
      </c>
      <c r="K73" s="25" t="s">
        <v>301</v>
      </c>
      <c r="L73" s="27">
        <v>0</v>
      </c>
      <c r="M73" s="27">
        <v>0</v>
      </c>
      <c r="N73" s="27">
        <v>5</v>
      </c>
      <c r="O73" s="41" t="str">
        <f t="shared" si="6"/>
        <v/>
      </c>
      <c r="P73" s="39" t="str">
        <f t="shared" si="7"/>
        <v/>
      </c>
      <c r="Q73" s="41" t="str">
        <f t="shared" si="8"/>
        <v/>
      </c>
      <c r="R73" s="39" t="str">
        <f t="shared" si="9"/>
        <v/>
      </c>
    </row>
    <row r="74" spans="1:18" ht="16.5" customHeight="1">
      <c r="A74" s="24">
        <v>3303</v>
      </c>
      <c r="B74" s="25" t="s">
        <v>75</v>
      </c>
      <c r="C74" s="25" t="s">
        <v>1</v>
      </c>
      <c r="D74" s="26">
        <v>45420</v>
      </c>
      <c r="E74" s="34" t="str">
        <f t="shared" si="5"/>
        <v>Maio</v>
      </c>
      <c r="F74" s="25" t="s">
        <v>300</v>
      </c>
      <c r="G74" s="28">
        <v>15</v>
      </c>
      <c r="H74" s="25" t="s">
        <v>298</v>
      </c>
      <c r="I74" s="25" t="s">
        <v>300</v>
      </c>
      <c r="J74" s="28">
        <v>30</v>
      </c>
      <c r="K74" s="25" t="s">
        <v>300</v>
      </c>
      <c r="L74" s="28">
        <v>20</v>
      </c>
      <c r="M74" s="28">
        <v>20</v>
      </c>
      <c r="N74" s="28">
        <v>45</v>
      </c>
      <c r="O74" s="41">
        <f t="shared" si="6"/>
        <v>1</v>
      </c>
      <c r="P74" s="39">
        <f t="shared" si="7"/>
        <v>30</v>
      </c>
      <c r="Q74" s="41">
        <f t="shared" si="8"/>
        <v>1</v>
      </c>
      <c r="R74" s="39">
        <f t="shared" si="9"/>
        <v>20</v>
      </c>
    </row>
    <row r="75" spans="1:18" ht="16.5" customHeight="1">
      <c r="A75" s="29">
        <v>3304</v>
      </c>
      <c r="B75" s="30" t="s">
        <v>76</v>
      </c>
      <c r="C75" s="30" t="s">
        <v>5</v>
      </c>
      <c r="D75" s="31">
        <v>45421</v>
      </c>
      <c r="E75" s="35" t="str">
        <f t="shared" si="5"/>
        <v>Maio</v>
      </c>
      <c r="F75" s="25" t="s">
        <v>301</v>
      </c>
      <c r="G75" s="27">
        <v>10</v>
      </c>
      <c r="H75" s="30" t="s">
        <v>298</v>
      </c>
      <c r="I75" s="25" t="s">
        <v>301</v>
      </c>
      <c r="J75" s="27" t="s">
        <v>283</v>
      </c>
      <c r="K75" s="25" t="s">
        <v>300</v>
      </c>
      <c r="L75" s="27">
        <v>20</v>
      </c>
      <c r="M75" s="27">
        <v>12</v>
      </c>
      <c r="N75" s="27">
        <v>18</v>
      </c>
      <c r="O75" s="41" t="str">
        <f t="shared" si="6"/>
        <v/>
      </c>
      <c r="P75" s="39" t="str">
        <f t="shared" si="7"/>
        <v/>
      </c>
      <c r="Q75" s="41">
        <f t="shared" si="8"/>
        <v>1</v>
      </c>
      <c r="R75" s="39">
        <f t="shared" si="9"/>
        <v>20</v>
      </c>
    </row>
    <row r="76" spans="1:18" ht="16.5" customHeight="1">
      <c r="A76" s="29">
        <v>3305</v>
      </c>
      <c r="B76" s="30" t="s">
        <v>77</v>
      </c>
      <c r="C76" s="30" t="s">
        <v>3</v>
      </c>
      <c r="D76" s="31">
        <v>45422</v>
      </c>
      <c r="E76" s="35" t="str">
        <f t="shared" si="5"/>
        <v>Maio</v>
      </c>
      <c r="F76" s="25" t="s">
        <v>300</v>
      </c>
      <c r="G76" s="27">
        <v>5</v>
      </c>
      <c r="H76" s="30" t="s">
        <v>297</v>
      </c>
      <c r="I76" s="25" t="s">
        <v>301</v>
      </c>
      <c r="J76" s="27" t="s">
        <v>283</v>
      </c>
      <c r="K76" s="25" t="s">
        <v>301</v>
      </c>
      <c r="L76" s="27">
        <v>0</v>
      </c>
      <c r="M76" s="27">
        <v>2</v>
      </c>
      <c r="N76" s="27">
        <v>3</v>
      </c>
      <c r="O76" s="41" t="str">
        <f t="shared" si="6"/>
        <v/>
      </c>
      <c r="P76" s="39" t="str">
        <f t="shared" si="7"/>
        <v/>
      </c>
      <c r="Q76" s="41" t="str">
        <f t="shared" si="8"/>
        <v/>
      </c>
      <c r="R76" s="39" t="str">
        <f t="shared" si="9"/>
        <v/>
      </c>
    </row>
    <row r="77" spans="1:18" ht="16.5" customHeight="1">
      <c r="A77" s="24">
        <v>3306</v>
      </c>
      <c r="B77" s="25" t="s">
        <v>78</v>
      </c>
      <c r="C77" s="25" t="s">
        <v>1</v>
      </c>
      <c r="D77" s="26">
        <v>45423</v>
      </c>
      <c r="E77" s="34" t="str">
        <f t="shared" si="5"/>
        <v>Maio</v>
      </c>
      <c r="F77" s="25" t="s">
        <v>301</v>
      </c>
      <c r="G77" s="28">
        <v>15</v>
      </c>
      <c r="H77" s="25" t="s">
        <v>299</v>
      </c>
      <c r="I77" s="25" t="s">
        <v>300</v>
      </c>
      <c r="J77" s="28">
        <v>30</v>
      </c>
      <c r="K77" s="25" t="s">
        <v>300</v>
      </c>
      <c r="L77" s="28">
        <v>20</v>
      </c>
      <c r="M77" s="28">
        <v>5</v>
      </c>
      <c r="N77" s="28">
        <v>60</v>
      </c>
      <c r="O77" s="41">
        <f t="shared" si="6"/>
        <v>1</v>
      </c>
      <c r="P77" s="39">
        <f t="shared" si="7"/>
        <v>30</v>
      </c>
      <c r="Q77" s="41">
        <f t="shared" si="8"/>
        <v>1</v>
      </c>
      <c r="R77" s="39">
        <f t="shared" si="9"/>
        <v>20</v>
      </c>
    </row>
    <row r="78" spans="1:18" ht="16.5" customHeight="1">
      <c r="A78" s="29">
        <v>3307</v>
      </c>
      <c r="B78" s="30" t="s">
        <v>79</v>
      </c>
      <c r="C78" s="30" t="s">
        <v>5</v>
      </c>
      <c r="D78" s="31">
        <v>45424</v>
      </c>
      <c r="E78" s="35" t="str">
        <f t="shared" si="5"/>
        <v>Maio</v>
      </c>
      <c r="F78" s="25" t="s">
        <v>300</v>
      </c>
      <c r="G78" s="27">
        <v>10</v>
      </c>
      <c r="H78" s="30" t="s">
        <v>297</v>
      </c>
      <c r="I78" s="25" t="s">
        <v>301</v>
      </c>
      <c r="J78" s="27" t="s">
        <v>283</v>
      </c>
      <c r="K78" s="25" t="s">
        <v>300</v>
      </c>
      <c r="L78" s="27">
        <v>20</v>
      </c>
      <c r="M78" s="27">
        <v>10</v>
      </c>
      <c r="N78" s="27">
        <v>20</v>
      </c>
      <c r="O78" s="41" t="str">
        <f t="shared" si="6"/>
        <v/>
      </c>
      <c r="P78" s="39" t="str">
        <f t="shared" si="7"/>
        <v/>
      </c>
      <c r="Q78" s="41">
        <f t="shared" si="8"/>
        <v>1</v>
      </c>
      <c r="R78" s="39">
        <f t="shared" si="9"/>
        <v>20</v>
      </c>
    </row>
    <row r="79" spans="1:18" ht="16.5" customHeight="1">
      <c r="A79" s="29">
        <v>3308</v>
      </c>
      <c r="B79" s="30" t="s">
        <v>80</v>
      </c>
      <c r="C79" s="30" t="s">
        <v>3</v>
      </c>
      <c r="D79" s="31">
        <v>45425</v>
      </c>
      <c r="E79" s="35" t="str">
        <f t="shared" si="5"/>
        <v>Maio</v>
      </c>
      <c r="F79" s="25" t="s">
        <v>301</v>
      </c>
      <c r="G79" s="27">
        <v>5</v>
      </c>
      <c r="H79" s="30" t="s">
        <v>298</v>
      </c>
      <c r="I79" s="25" t="s">
        <v>301</v>
      </c>
      <c r="J79" s="27" t="s">
        <v>283</v>
      </c>
      <c r="K79" s="25" t="s">
        <v>301</v>
      </c>
      <c r="L79" s="27">
        <v>0</v>
      </c>
      <c r="M79" s="27">
        <v>0</v>
      </c>
      <c r="N79" s="27">
        <v>5</v>
      </c>
      <c r="O79" s="41" t="str">
        <f t="shared" si="6"/>
        <v/>
      </c>
      <c r="P79" s="39" t="str">
        <f t="shared" si="7"/>
        <v/>
      </c>
      <c r="Q79" s="41" t="str">
        <f t="shared" si="8"/>
        <v/>
      </c>
      <c r="R79" s="39" t="str">
        <f t="shared" si="9"/>
        <v/>
      </c>
    </row>
    <row r="80" spans="1:18" ht="16.5" customHeight="1">
      <c r="A80" s="24">
        <v>3309</v>
      </c>
      <c r="B80" s="25" t="s">
        <v>81</v>
      </c>
      <c r="C80" s="25" t="s">
        <v>1</v>
      </c>
      <c r="D80" s="26">
        <v>45426</v>
      </c>
      <c r="E80" s="34" t="str">
        <f t="shared" si="5"/>
        <v>Maio</v>
      </c>
      <c r="F80" s="25" t="s">
        <v>300</v>
      </c>
      <c r="G80" s="28">
        <v>15</v>
      </c>
      <c r="H80" s="25" t="s">
        <v>297</v>
      </c>
      <c r="I80" s="25" t="s">
        <v>300</v>
      </c>
      <c r="J80" s="28">
        <v>30</v>
      </c>
      <c r="K80" s="25" t="s">
        <v>300</v>
      </c>
      <c r="L80" s="28">
        <v>20</v>
      </c>
      <c r="M80" s="28">
        <v>3</v>
      </c>
      <c r="N80" s="28">
        <v>62</v>
      </c>
      <c r="O80" s="41">
        <f t="shared" si="6"/>
        <v>1</v>
      </c>
      <c r="P80" s="39">
        <f t="shared" si="7"/>
        <v>30</v>
      </c>
      <c r="Q80" s="41">
        <f t="shared" si="8"/>
        <v>1</v>
      </c>
      <c r="R80" s="39">
        <f t="shared" si="9"/>
        <v>20</v>
      </c>
    </row>
    <row r="81" spans="1:18" ht="16.5" customHeight="1">
      <c r="A81" s="29">
        <v>3310</v>
      </c>
      <c r="B81" s="30" t="s">
        <v>82</v>
      </c>
      <c r="C81" s="30" t="s">
        <v>5</v>
      </c>
      <c r="D81" s="31">
        <v>45427</v>
      </c>
      <c r="E81" s="35" t="str">
        <f t="shared" si="5"/>
        <v>Maio</v>
      </c>
      <c r="F81" s="25" t="s">
        <v>301</v>
      </c>
      <c r="G81" s="27">
        <v>10</v>
      </c>
      <c r="H81" s="30" t="s">
        <v>299</v>
      </c>
      <c r="I81" s="25" t="s">
        <v>301</v>
      </c>
      <c r="J81" s="27" t="s">
        <v>283</v>
      </c>
      <c r="K81" s="25" t="s">
        <v>300</v>
      </c>
      <c r="L81" s="27">
        <v>20</v>
      </c>
      <c r="M81" s="27">
        <v>15</v>
      </c>
      <c r="N81" s="27">
        <v>15</v>
      </c>
      <c r="O81" s="41" t="str">
        <f t="shared" si="6"/>
        <v/>
      </c>
      <c r="P81" s="39" t="str">
        <f t="shared" si="7"/>
        <v/>
      </c>
      <c r="Q81" s="41">
        <f t="shared" si="8"/>
        <v>1</v>
      </c>
      <c r="R81" s="39">
        <f t="shared" si="9"/>
        <v>20</v>
      </c>
    </row>
    <row r="82" spans="1:18" ht="16.5" customHeight="1">
      <c r="A82" s="29">
        <v>3311</v>
      </c>
      <c r="B82" s="30" t="s">
        <v>83</v>
      </c>
      <c r="C82" s="30" t="s">
        <v>3</v>
      </c>
      <c r="D82" s="31">
        <v>45428</v>
      </c>
      <c r="E82" s="35" t="str">
        <f t="shared" si="5"/>
        <v>Maio</v>
      </c>
      <c r="F82" s="25" t="s">
        <v>300</v>
      </c>
      <c r="G82" s="27">
        <v>5</v>
      </c>
      <c r="H82" s="30" t="s">
        <v>297</v>
      </c>
      <c r="I82" s="25" t="s">
        <v>301</v>
      </c>
      <c r="J82" s="27" t="s">
        <v>283</v>
      </c>
      <c r="K82" s="25" t="s">
        <v>301</v>
      </c>
      <c r="L82" s="27">
        <v>0</v>
      </c>
      <c r="M82" s="27">
        <v>1</v>
      </c>
      <c r="N82" s="27">
        <v>4</v>
      </c>
      <c r="O82" s="41" t="str">
        <f t="shared" si="6"/>
        <v/>
      </c>
      <c r="P82" s="39" t="str">
        <f t="shared" si="7"/>
        <v/>
      </c>
      <c r="Q82" s="41" t="str">
        <f t="shared" si="8"/>
        <v/>
      </c>
      <c r="R82" s="39" t="str">
        <f t="shared" si="9"/>
        <v/>
      </c>
    </row>
    <row r="83" spans="1:18" ht="16.5" customHeight="1">
      <c r="A83" s="24">
        <v>3312</v>
      </c>
      <c r="B83" s="25" t="s">
        <v>84</v>
      </c>
      <c r="C83" s="25" t="s">
        <v>1</v>
      </c>
      <c r="D83" s="26">
        <v>45429</v>
      </c>
      <c r="E83" s="34" t="str">
        <f t="shared" si="5"/>
        <v>Maio</v>
      </c>
      <c r="F83" s="25" t="s">
        <v>301</v>
      </c>
      <c r="G83" s="28">
        <v>15</v>
      </c>
      <c r="H83" s="25" t="s">
        <v>298</v>
      </c>
      <c r="I83" s="25" t="s">
        <v>300</v>
      </c>
      <c r="J83" s="28">
        <v>30</v>
      </c>
      <c r="K83" s="25" t="s">
        <v>300</v>
      </c>
      <c r="L83" s="28">
        <v>20</v>
      </c>
      <c r="M83" s="28">
        <v>7</v>
      </c>
      <c r="N83" s="28">
        <v>58</v>
      </c>
      <c r="O83" s="41">
        <f t="shared" si="6"/>
        <v>1</v>
      </c>
      <c r="P83" s="39">
        <f t="shared" si="7"/>
        <v>30</v>
      </c>
      <c r="Q83" s="41">
        <f t="shared" si="8"/>
        <v>1</v>
      </c>
      <c r="R83" s="39">
        <f t="shared" si="9"/>
        <v>20</v>
      </c>
    </row>
    <row r="84" spans="1:18" ht="16.5" customHeight="1">
      <c r="A84" s="29">
        <v>3313</v>
      </c>
      <c r="B84" s="30" t="s">
        <v>85</v>
      </c>
      <c r="C84" s="30" t="s">
        <v>5</v>
      </c>
      <c r="D84" s="31">
        <v>45430</v>
      </c>
      <c r="E84" s="35" t="str">
        <f t="shared" si="5"/>
        <v>Maio</v>
      </c>
      <c r="F84" s="25" t="s">
        <v>300</v>
      </c>
      <c r="G84" s="27">
        <v>10</v>
      </c>
      <c r="H84" s="30" t="s">
        <v>297</v>
      </c>
      <c r="I84" s="25" t="s">
        <v>301</v>
      </c>
      <c r="J84" s="27" t="s">
        <v>283</v>
      </c>
      <c r="K84" s="25" t="s">
        <v>300</v>
      </c>
      <c r="L84" s="27">
        <v>20</v>
      </c>
      <c r="M84" s="27">
        <v>10</v>
      </c>
      <c r="N84" s="27">
        <v>20</v>
      </c>
      <c r="O84" s="41" t="str">
        <f t="shared" si="6"/>
        <v/>
      </c>
      <c r="P84" s="39" t="str">
        <f t="shared" si="7"/>
        <v/>
      </c>
      <c r="Q84" s="41">
        <f t="shared" si="8"/>
        <v>1</v>
      </c>
      <c r="R84" s="39">
        <f t="shared" si="9"/>
        <v>20</v>
      </c>
    </row>
    <row r="85" spans="1:18" ht="16.5" customHeight="1">
      <c r="A85" s="29">
        <v>3314</v>
      </c>
      <c r="B85" s="30" t="s">
        <v>86</v>
      </c>
      <c r="C85" s="30" t="s">
        <v>3</v>
      </c>
      <c r="D85" s="31">
        <v>45431</v>
      </c>
      <c r="E85" s="35" t="str">
        <f t="shared" si="5"/>
        <v>Maio</v>
      </c>
      <c r="F85" s="25" t="s">
        <v>301</v>
      </c>
      <c r="G85" s="27">
        <v>5</v>
      </c>
      <c r="H85" s="30" t="s">
        <v>299</v>
      </c>
      <c r="I85" s="25" t="s">
        <v>301</v>
      </c>
      <c r="J85" s="27" t="s">
        <v>283</v>
      </c>
      <c r="K85" s="25" t="s">
        <v>301</v>
      </c>
      <c r="L85" s="27">
        <v>0</v>
      </c>
      <c r="M85" s="27">
        <v>0</v>
      </c>
      <c r="N85" s="27">
        <v>5</v>
      </c>
      <c r="O85" s="41" t="str">
        <f t="shared" si="6"/>
        <v/>
      </c>
      <c r="P85" s="39" t="str">
        <f t="shared" si="7"/>
        <v/>
      </c>
      <c r="Q85" s="41" t="str">
        <f t="shared" si="8"/>
        <v/>
      </c>
      <c r="R85" s="39" t="str">
        <f t="shared" si="9"/>
        <v/>
      </c>
    </row>
    <row r="86" spans="1:18" ht="16.5" customHeight="1">
      <c r="A86" s="24">
        <v>3315</v>
      </c>
      <c r="B86" s="25" t="s">
        <v>87</v>
      </c>
      <c r="C86" s="25" t="s">
        <v>1</v>
      </c>
      <c r="D86" s="26">
        <v>45432</v>
      </c>
      <c r="E86" s="34" t="str">
        <f t="shared" si="5"/>
        <v>Maio</v>
      </c>
      <c r="F86" s="25" t="s">
        <v>300</v>
      </c>
      <c r="G86" s="28">
        <v>15</v>
      </c>
      <c r="H86" s="25" t="s">
        <v>297</v>
      </c>
      <c r="I86" s="25" t="s">
        <v>300</v>
      </c>
      <c r="J86" s="28">
        <v>30</v>
      </c>
      <c r="K86" s="25" t="s">
        <v>300</v>
      </c>
      <c r="L86" s="28">
        <v>20</v>
      </c>
      <c r="M86" s="28">
        <v>20</v>
      </c>
      <c r="N86" s="28">
        <v>45</v>
      </c>
      <c r="O86" s="41">
        <f t="shared" si="6"/>
        <v>1</v>
      </c>
      <c r="P86" s="39">
        <f t="shared" si="7"/>
        <v>30</v>
      </c>
      <c r="Q86" s="41">
        <f t="shared" si="8"/>
        <v>1</v>
      </c>
      <c r="R86" s="39">
        <f t="shared" si="9"/>
        <v>20</v>
      </c>
    </row>
    <row r="87" spans="1:18" ht="16.5" customHeight="1">
      <c r="A87" s="29">
        <v>3316</v>
      </c>
      <c r="B87" s="30" t="s">
        <v>88</v>
      </c>
      <c r="C87" s="30" t="s">
        <v>5</v>
      </c>
      <c r="D87" s="31">
        <v>45433</v>
      </c>
      <c r="E87" s="35" t="str">
        <f t="shared" si="5"/>
        <v>Maio</v>
      </c>
      <c r="F87" s="25" t="s">
        <v>301</v>
      </c>
      <c r="G87" s="27">
        <v>10</v>
      </c>
      <c r="H87" s="30" t="s">
        <v>298</v>
      </c>
      <c r="I87" s="25" t="s">
        <v>301</v>
      </c>
      <c r="J87" s="27" t="s">
        <v>283</v>
      </c>
      <c r="K87" s="25" t="s">
        <v>300</v>
      </c>
      <c r="L87" s="27">
        <v>20</v>
      </c>
      <c r="M87" s="27">
        <v>15</v>
      </c>
      <c r="N87" s="27">
        <v>15</v>
      </c>
      <c r="O87" s="41" t="str">
        <f t="shared" si="6"/>
        <v/>
      </c>
      <c r="P87" s="39" t="str">
        <f t="shared" si="7"/>
        <v/>
      </c>
      <c r="Q87" s="41">
        <f t="shared" si="8"/>
        <v>1</v>
      </c>
      <c r="R87" s="39">
        <f t="shared" si="9"/>
        <v>20</v>
      </c>
    </row>
    <row r="88" spans="1:18" ht="16.5" customHeight="1">
      <c r="A88" s="29">
        <v>3317</v>
      </c>
      <c r="B88" s="30" t="s">
        <v>89</v>
      </c>
      <c r="C88" s="30" t="s">
        <v>3</v>
      </c>
      <c r="D88" s="31">
        <v>45434</v>
      </c>
      <c r="E88" s="35" t="str">
        <f t="shared" si="5"/>
        <v>Maio</v>
      </c>
      <c r="F88" s="25" t="s">
        <v>300</v>
      </c>
      <c r="G88" s="27">
        <v>5</v>
      </c>
      <c r="H88" s="30" t="s">
        <v>297</v>
      </c>
      <c r="I88" s="25" t="s">
        <v>301</v>
      </c>
      <c r="J88" s="27" t="s">
        <v>283</v>
      </c>
      <c r="K88" s="25" t="s">
        <v>301</v>
      </c>
      <c r="L88" s="27">
        <v>0</v>
      </c>
      <c r="M88" s="27">
        <v>1</v>
      </c>
      <c r="N88" s="27">
        <v>4</v>
      </c>
      <c r="O88" s="41" t="str">
        <f t="shared" si="6"/>
        <v/>
      </c>
      <c r="P88" s="39" t="str">
        <f t="shared" si="7"/>
        <v/>
      </c>
      <c r="Q88" s="41" t="str">
        <f t="shared" si="8"/>
        <v/>
      </c>
      <c r="R88" s="39" t="str">
        <f t="shared" si="9"/>
        <v/>
      </c>
    </row>
    <row r="89" spans="1:18" ht="16.5" customHeight="1">
      <c r="A89" s="24">
        <v>3318</v>
      </c>
      <c r="B89" s="25" t="s">
        <v>90</v>
      </c>
      <c r="C89" s="25" t="s">
        <v>1</v>
      </c>
      <c r="D89" s="26">
        <v>45435</v>
      </c>
      <c r="E89" s="34" t="str">
        <f t="shared" si="5"/>
        <v>Maio</v>
      </c>
      <c r="F89" s="25" t="s">
        <v>301</v>
      </c>
      <c r="G89" s="28">
        <v>15</v>
      </c>
      <c r="H89" s="25" t="s">
        <v>299</v>
      </c>
      <c r="I89" s="25" t="s">
        <v>300</v>
      </c>
      <c r="J89" s="28">
        <v>30</v>
      </c>
      <c r="K89" s="25" t="s">
        <v>300</v>
      </c>
      <c r="L89" s="28">
        <v>20</v>
      </c>
      <c r="M89" s="28">
        <v>3</v>
      </c>
      <c r="N89" s="28">
        <v>62</v>
      </c>
      <c r="O89" s="41">
        <f t="shared" si="6"/>
        <v>1</v>
      </c>
      <c r="P89" s="39">
        <f t="shared" si="7"/>
        <v>30</v>
      </c>
      <c r="Q89" s="41">
        <f t="shared" si="8"/>
        <v>1</v>
      </c>
      <c r="R89" s="39">
        <f t="shared" si="9"/>
        <v>20</v>
      </c>
    </row>
    <row r="90" spans="1:18" ht="16.5" customHeight="1">
      <c r="A90" s="29">
        <v>3319</v>
      </c>
      <c r="B90" s="30" t="s">
        <v>91</v>
      </c>
      <c r="C90" s="30" t="s">
        <v>5</v>
      </c>
      <c r="D90" s="31">
        <v>45436</v>
      </c>
      <c r="E90" s="35" t="str">
        <f t="shared" si="5"/>
        <v>Maio</v>
      </c>
      <c r="F90" s="25" t="s">
        <v>300</v>
      </c>
      <c r="G90" s="27">
        <v>10</v>
      </c>
      <c r="H90" s="30" t="s">
        <v>297</v>
      </c>
      <c r="I90" s="25" t="s">
        <v>301</v>
      </c>
      <c r="J90" s="27" t="s">
        <v>283</v>
      </c>
      <c r="K90" s="25" t="s">
        <v>300</v>
      </c>
      <c r="L90" s="27">
        <v>20</v>
      </c>
      <c r="M90" s="27">
        <v>10</v>
      </c>
      <c r="N90" s="27">
        <v>20</v>
      </c>
      <c r="O90" s="41" t="str">
        <f t="shared" si="6"/>
        <v/>
      </c>
      <c r="P90" s="39" t="str">
        <f t="shared" si="7"/>
        <v/>
      </c>
      <c r="Q90" s="41">
        <f t="shared" si="8"/>
        <v>1</v>
      </c>
      <c r="R90" s="39">
        <f t="shared" si="9"/>
        <v>20</v>
      </c>
    </row>
    <row r="91" spans="1:18" ht="16.5" customHeight="1">
      <c r="A91" s="29">
        <v>3320</v>
      </c>
      <c r="B91" s="30" t="s">
        <v>92</v>
      </c>
      <c r="C91" s="30" t="s">
        <v>3</v>
      </c>
      <c r="D91" s="31">
        <v>45437</v>
      </c>
      <c r="E91" s="35" t="str">
        <f t="shared" si="5"/>
        <v>Maio</v>
      </c>
      <c r="F91" s="25" t="s">
        <v>301</v>
      </c>
      <c r="G91" s="27">
        <v>5</v>
      </c>
      <c r="H91" s="30" t="s">
        <v>298</v>
      </c>
      <c r="I91" s="25" t="s">
        <v>301</v>
      </c>
      <c r="J91" s="27" t="s">
        <v>283</v>
      </c>
      <c r="K91" s="25" t="s">
        <v>301</v>
      </c>
      <c r="L91" s="27">
        <v>0</v>
      </c>
      <c r="M91" s="27">
        <v>0</v>
      </c>
      <c r="N91" s="27">
        <v>5</v>
      </c>
      <c r="O91" s="41" t="str">
        <f t="shared" si="6"/>
        <v/>
      </c>
      <c r="P91" s="39" t="str">
        <f t="shared" si="7"/>
        <v/>
      </c>
      <c r="Q91" s="41" t="str">
        <f t="shared" si="8"/>
        <v/>
      </c>
      <c r="R91" s="39" t="str">
        <f t="shared" si="9"/>
        <v/>
      </c>
    </row>
    <row r="92" spans="1:18" ht="16.5" customHeight="1">
      <c r="A92" s="24">
        <v>3321</v>
      </c>
      <c r="B92" s="25" t="s">
        <v>93</v>
      </c>
      <c r="C92" s="25" t="s">
        <v>1</v>
      </c>
      <c r="D92" s="26">
        <v>45438</v>
      </c>
      <c r="E92" s="34" t="str">
        <f t="shared" si="5"/>
        <v>Maio</v>
      </c>
      <c r="F92" s="25" t="s">
        <v>300</v>
      </c>
      <c r="G92" s="28">
        <v>15</v>
      </c>
      <c r="H92" s="25" t="s">
        <v>297</v>
      </c>
      <c r="I92" s="25" t="s">
        <v>300</v>
      </c>
      <c r="J92" s="28">
        <v>30</v>
      </c>
      <c r="K92" s="25" t="s">
        <v>300</v>
      </c>
      <c r="L92" s="28">
        <v>20</v>
      </c>
      <c r="M92" s="28">
        <v>5</v>
      </c>
      <c r="N92" s="28">
        <v>60</v>
      </c>
      <c r="O92" s="41">
        <f t="shared" si="6"/>
        <v>1</v>
      </c>
      <c r="P92" s="39">
        <f t="shared" si="7"/>
        <v>30</v>
      </c>
      <c r="Q92" s="41">
        <f t="shared" si="8"/>
        <v>1</v>
      </c>
      <c r="R92" s="39">
        <f t="shared" si="9"/>
        <v>20</v>
      </c>
    </row>
    <row r="93" spans="1:18" ht="16.5" customHeight="1">
      <c r="A93" s="29">
        <v>3322</v>
      </c>
      <c r="B93" s="30" t="s">
        <v>94</v>
      </c>
      <c r="C93" s="30" t="s">
        <v>5</v>
      </c>
      <c r="D93" s="31">
        <v>45439</v>
      </c>
      <c r="E93" s="35" t="str">
        <f t="shared" si="5"/>
        <v>Maio</v>
      </c>
      <c r="F93" s="25" t="s">
        <v>301</v>
      </c>
      <c r="G93" s="27">
        <v>10</v>
      </c>
      <c r="H93" s="30" t="s">
        <v>299</v>
      </c>
      <c r="I93" s="25" t="s">
        <v>301</v>
      </c>
      <c r="J93" s="27" t="s">
        <v>283</v>
      </c>
      <c r="K93" s="25" t="s">
        <v>300</v>
      </c>
      <c r="L93" s="27">
        <v>20</v>
      </c>
      <c r="M93" s="27">
        <v>15</v>
      </c>
      <c r="N93" s="27">
        <v>15</v>
      </c>
      <c r="O93" s="41" t="str">
        <f t="shared" si="6"/>
        <v/>
      </c>
      <c r="P93" s="39" t="str">
        <f t="shared" si="7"/>
        <v/>
      </c>
      <c r="Q93" s="41">
        <f t="shared" si="8"/>
        <v>1</v>
      </c>
      <c r="R93" s="39">
        <f t="shared" si="9"/>
        <v>20</v>
      </c>
    </row>
    <row r="94" spans="1:18" ht="16.5" customHeight="1">
      <c r="A94" s="29">
        <v>3323</v>
      </c>
      <c r="B94" s="30" t="s">
        <v>95</v>
      </c>
      <c r="C94" s="30" t="s">
        <v>3</v>
      </c>
      <c r="D94" s="31">
        <v>45440</v>
      </c>
      <c r="E94" s="35" t="str">
        <f t="shared" si="5"/>
        <v>Maio</v>
      </c>
      <c r="F94" s="25" t="s">
        <v>300</v>
      </c>
      <c r="G94" s="27">
        <v>5</v>
      </c>
      <c r="H94" s="30" t="s">
        <v>297</v>
      </c>
      <c r="I94" s="25" t="s">
        <v>301</v>
      </c>
      <c r="J94" s="27" t="s">
        <v>283</v>
      </c>
      <c r="K94" s="25" t="s">
        <v>301</v>
      </c>
      <c r="L94" s="27">
        <v>0</v>
      </c>
      <c r="M94" s="27">
        <v>1</v>
      </c>
      <c r="N94" s="27">
        <v>4</v>
      </c>
      <c r="O94" s="41" t="str">
        <f t="shared" si="6"/>
        <v/>
      </c>
      <c r="P94" s="39" t="str">
        <f t="shared" si="7"/>
        <v/>
      </c>
      <c r="Q94" s="41" t="str">
        <f t="shared" si="8"/>
        <v/>
      </c>
      <c r="R94" s="39" t="str">
        <f t="shared" si="9"/>
        <v/>
      </c>
    </row>
    <row r="95" spans="1:18" ht="16.5" customHeight="1">
      <c r="A95" s="24">
        <v>3324</v>
      </c>
      <c r="B95" s="25" t="s">
        <v>96</v>
      </c>
      <c r="C95" s="25" t="s">
        <v>1</v>
      </c>
      <c r="D95" s="26">
        <v>45441</v>
      </c>
      <c r="E95" s="34" t="str">
        <f t="shared" si="5"/>
        <v>Maio</v>
      </c>
      <c r="F95" s="25" t="s">
        <v>301</v>
      </c>
      <c r="G95" s="28">
        <v>15</v>
      </c>
      <c r="H95" s="25" t="s">
        <v>298</v>
      </c>
      <c r="I95" s="25" t="s">
        <v>300</v>
      </c>
      <c r="J95" s="28">
        <v>30</v>
      </c>
      <c r="K95" s="25" t="s">
        <v>300</v>
      </c>
      <c r="L95" s="28">
        <v>20</v>
      </c>
      <c r="M95" s="28">
        <v>20</v>
      </c>
      <c r="N95" s="28">
        <v>45</v>
      </c>
      <c r="O95" s="41">
        <f t="shared" si="6"/>
        <v>1</v>
      </c>
      <c r="P95" s="39">
        <f t="shared" si="7"/>
        <v>30</v>
      </c>
      <c r="Q95" s="41">
        <f t="shared" si="8"/>
        <v>1</v>
      </c>
      <c r="R95" s="39">
        <f t="shared" si="9"/>
        <v>20</v>
      </c>
    </row>
    <row r="96" spans="1:18" ht="16.5" customHeight="1">
      <c r="A96" s="29">
        <v>3325</v>
      </c>
      <c r="B96" s="30" t="s">
        <v>97</v>
      </c>
      <c r="C96" s="30" t="s">
        <v>5</v>
      </c>
      <c r="D96" s="31">
        <v>45442</v>
      </c>
      <c r="E96" s="35" t="str">
        <f t="shared" si="5"/>
        <v>Maio</v>
      </c>
      <c r="F96" s="25" t="s">
        <v>300</v>
      </c>
      <c r="G96" s="27">
        <v>10</v>
      </c>
      <c r="H96" s="30" t="s">
        <v>298</v>
      </c>
      <c r="I96" s="25" t="s">
        <v>301</v>
      </c>
      <c r="J96" s="27" t="s">
        <v>283</v>
      </c>
      <c r="K96" s="25" t="s">
        <v>300</v>
      </c>
      <c r="L96" s="27">
        <v>20</v>
      </c>
      <c r="M96" s="27">
        <v>15</v>
      </c>
      <c r="N96" s="27">
        <v>15</v>
      </c>
      <c r="O96" s="41" t="str">
        <f t="shared" si="6"/>
        <v/>
      </c>
      <c r="P96" s="39" t="str">
        <f t="shared" si="7"/>
        <v/>
      </c>
      <c r="Q96" s="41">
        <f t="shared" si="8"/>
        <v>1</v>
      </c>
      <c r="R96" s="39">
        <f t="shared" si="9"/>
        <v>20</v>
      </c>
    </row>
    <row r="97" spans="1:18" ht="16.5" customHeight="1">
      <c r="A97" s="29">
        <v>3326</v>
      </c>
      <c r="B97" s="30" t="s">
        <v>98</v>
      </c>
      <c r="C97" s="30" t="s">
        <v>3</v>
      </c>
      <c r="D97" s="31">
        <v>45443</v>
      </c>
      <c r="E97" s="35" t="str">
        <f t="shared" si="5"/>
        <v>Maio</v>
      </c>
      <c r="F97" s="25" t="s">
        <v>301</v>
      </c>
      <c r="G97" s="27">
        <v>5</v>
      </c>
      <c r="H97" s="30" t="s">
        <v>299</v>
      </c>
      <c r="I97" s="25" t="s">
        <v>301</v>
      </c>
      <c r="J97" s="27" t="s">
        <v>283</v>
      </c>
      <c r="K97" s="25" t="s">
        <v>301</v>
      </c>
      <c r="L97" s="27">
        <v>0</v>
      </c>
      <c r="M97" s="27">
        <v>0</v>
      </c>
      <c r="N97" s="27">
        <v>5</v>
      </c>
      <c r="O97" s="41" t="str">
        <f t="shared" si="6"/>
        <v/>
      </c>
      <c r="P97" s="39" t="str">
        <f t="shared" si="7"/>
        <v/>
      </c>
      <c r="Q97" s="41" t="str">
        <f t="shared" si="8"/>
        <v/>
      </c>
      <c r="R97" s="39" t="str">
        <f t="shared" si="9"/>
        <v/>
      </c>
    </row>
    <row r="98" spans="1:18" ht="16.5" customHeight="1">
      <c r="A98" s="24">
        <v>3327</v>
      </c>
      <c r="B98" s="25" t="s">
        <v>99</v>
      </c>
      <c r="C98" s="25" t="s">
        <v>1</v>
      </c>
      <c r="D98" s="26">
        <v>45444</v>
      </c>
      <c r="E98" s="34" t="str">
        <f t="shared" si="5"/>
        <v>Junho</v>
      </c>
      <c r="F98" s="25" t="s">
        <v>300</v>
      </c>
      <c r="G98" s="28">
        <v>15</v>
      </c>
      <c r="H98" s="25" t="s">
        <v>297</v>
      </c>
      <c r="I98" s="25" t="s">
        <v>300</v>
      </c>
      <c r="J98" s="28">
        <v>30</v>
      </c>
      <c r="K98" s="25" t="s">
        <v>300</v>
      </c>
      <c r="L98" s="28">
        <v>20</v>
      </c>
      <c r="M98" s="28">
        <v>7</v>
      </c>
      <c r="N98" s="28">
        <v>58</v>
      </c>
      <c r="O98" s="41">
        <f t="shared" si="6"/>
        <v>1</v>
      </c>
      <c r="P98" s="39">
        <f t="shared" si="7"/>
        <v>30</v>
      </c>
      <c r="Q98" s="41">
        <f t="shared" si="8"/>
        <v>1</v>
      </c>
      <c r="R98" s="39">
        <f t="shared" si="9"/>
        <v>20</v>
      </c>
    </row>
    <row r="99" spans="1:18" ht="16.5" customHeight="1">
      <c r="A99" s="29">
        <v>3328</v>
      </c>
      <c r="B99" s="30" t="s">
        <v>100</v>
      </c>
      <c r="C99" s="30" t="s">
        <v>5</v>
      </c>
      <c r="D99" s="31">
        <v>45445</v>
      </c>
      <c r="E99" s="35" t="str">
        <f t="shared" si="5"/>
        <v>Junho</v>
      </c>
      <c r="F99" s="25" t="s">
        <v>301</v>
      </c>
      <c r="G99" s="27">
        <v>10</v>
      </c>
      <c r="H99" s="30" t="s">
        <v>299</v>
      </c>
      <c r="I99" s="25" t="s">
        <v>301</v>
      </c>
      <c r="J99" s="27" t="s">
        <v>283</v>
      </c>
      <c r="K99" s="25" t="s">
        <v>300</v>
      </c>
      <c r="L99" s="27">
        <v>20</v>
      </c>
      <c r="M99" s="27">
        <v>10</v>
      </c>
      <c r="N99" s="27">
        <v>20</v>
      </c>
      <c r="O99" s="41" t="str">
        <f t="shared" si="6"/>
        <v/>
      </c>
      <c r="P99" s="39" t="str">
        <f t="shared" si="7"/>
        <v/>
      </c>
      <c r="Q99" s="41">
        <f t="shared" si="8"/>
        <v>1</v>
      </c>
      <c r="R99" s="39">
        <f t="shared" si="9"/>
        <v>20</v>
      </c>
    </row>
    <row r="100" spans="1:18" ht="16.5" customHeight="1">
      <c r="A100" s="29">
        <v>3329</v>
      </c>
      <c r="B100" s="30" t="s">
        <v>101</v>
      </c>
      <c r="C100" s="30" t="s">
        <v>3</v>
      </c>
      <c r="D100" s="31">
        <v>45446</v>
      </c>
      <c r="E100" s="35" t="str">
        <f t="shared" si="5"/>
        <v>Junho</v>
      </c>
      <c r="F100" s="25" t="s">
        <v>300</v>
      </c>
      <c r="G100" s="27">
        <v>5</v>
      </c>
      <c r="H100" s="30" t="s">
        <v>298</v>
      </c>
      <c r="I100" s="25" t="s">
        <v>301</v>
      </c>
      <c r="J100" s="27" t="s">
        <v>283</v>
      </c>
      <c r="K100" s="25" t="s">
        <v>301</v>
      </c>
      <c r="L100" s="27">
        <v>0</v>
      </c>
      <c r="M100" s="27">
        <v>1</v>
      </c>
      <c r="N100" s="27">
        <v>4</v>
      </c>
      <c r="O100" s="41" t="str">
        <f t="shared" si="6"/>
        <v/>
      </c>
      <c r="P100" s="39" t="str">
        <f t="shared" si="7"/>
        <v/>
      </c>
      <c r="Q100" s="41" t="str">
        <f t="shared" si="8"/>
        <v/>
      </c>
      <c r="R100" s="39" t="str">
        <f t="shared" si="9"/>
        <v/>
      </c>
    </row>
    <row r="101" spans="1:18" ht="16.5" customHeight="1">
      <c r="A101" s="24">
        <v>3330</v>
      </c>
      <c r="B101" s="25" t="s">
        <v>102</v>
      </c>
      <c r="C101" s="25" t="s">
        <v>1</v>
      </c>
      <c r="D101" s="26">
        <v>45447</v>
      </c>
      <c r="E101" s="34" t="str">
        <f t="shared" si="5"/>
        <v>Junho</v>
      </c>
      <c r="F101" s="25" t="s">
        <v>301</v>
      </c>
      <c r="G101" s="28">
        <v>15</v>
      </c>
      <c r="H101" s="25" t="s">
        <v>297</v>
      </c>
      <c r="I101" s="25" t="s">
        <v>300</v>
      </c>
      <c r="J101" s="28">
        <v>30</v>
      </c>
      <c r="K101" s="25" t="s">
        <v>300</v>
      </c>
      <c r="L101" s="28">
        <v>20</v>
      </c>
      <c r="M101" s="28">
        <v>15</v>
      </c>
      <c r="N101" s="28">
        <v>50</v>
      </c>
      <c r="O101" s="41">
        <f t="shared" si="6"/>
        <v>1</v>
      </c>
      <c r="P101" s="39">
        <f t="shared" si="7"/>
        <v>30</v>
      </c>
      <c r="Q101" s="41">
        <f t="shared" si="8"/>
        <v>1</v>
      </c>
      <c r="R101" s="39">
        <f t="shared" si="9"/>
        <v>20</v>
      </c>
    </row>
    <row r="102" spans="1:18" ht="16.5" customHeight="1">
      <c r="A102" s="29">
        <v>3331</v>
      </c>
      <c r="B102" s="30" t="s">
        <v>103</v>
      </c>
      <c r="C102" s="30" t="s">
        <v>5</v>
      </c>
      <c r="D102" s="31">
        <v>45448</v>
      </c>
      <c r="E102" s="35" t="str">
        <f t="shared" si="5"/>
        <v>Junho</v>
      </c>
      <c r="F102" s="25" t="s">
        <v>300</v>
      </c>
      <c r="G102" s="27">
        <v>10</v>
      </c>
      <c r="H102" s="30" t="s">
        <v>297</v>
      </c>
      <c r="I102" s="25" t="s">
        <v>301</v>
      </c>
      <c r="J102" s="27" t="s">
        <v>283</v>
      </c>
      <c r="K102" s="25" t="s">
        <v>300</v>
      </c>
      <c r="L102" s="27">
        <v>20</v>
      </c>
      <c r="M102" s="27">
        <v>5</v>
      </c>
      <c r="N102" s="27">
        <v>25</v>
      </c>
      <c r="O102" s="41" t="str">
        <f t="shared" si="6"/>
        <v/>
      </c>
      <c r="P102" s="39" t="str">
        <f t="shared" si="7"/>
        <v/>
      </c>
      <c r="Q102" s="41">
        <f t="shared" si="8"/>
        <v>1</v>
      </c>
      <c r="R102" s="39">
        <f t="shared" si="9"/>
        <v>20</v>
      </c>
    </row>
    <row r="103" spans="1:18" ht="16.5" customHeight="1">
      <c r="A103" s="29">
        <v>3332</v>
      </c>
      <c r="B103" s="30" t="s">
        <v>104</v>
      </c>
      <c r="C103" s="30" t="s">
        <v>3</v>
      </c>
      <c r="D103" s="31">
        <v>45449</v>
      </c>
      <c r="E103" s="35" t="str">
        <f t="shared" si="5"/>
        <v>Junho</v>
      </c>
      <c r="F103" s="25" t="s">
        <v>301</v>
      </c>
      <c r="G103" s="27">
        <v>5</v>
      </c>
      <c r="H103" s="30" t="s">
        <v>299</v>
      </c>
      <c r="I103" s="25" t="s">
        <v>301</v>
      </c>
      <c r="J103" s="27" t="s">
        <v>283</v>
      </c>
      <c r="K103" s="25" t="s">
        <v>301</v>
      </c>
      <c r="L103" s="27">
        <v>0</v>
      </c>
      <c r="M103" s="27">
        <v>0</v>
      </c>
      <c r="N103" s="27">
        <v>5</v>
      </c>
      <c r="O103" s="41" t="str">
        <f t="shared" si="6"/>
        <v/>
      </c>
      <c r="P103" s="39" t="str">
        <f t="shared" si="7"/>
        <v/>
      </c>
      <c r="Q103" s="41" t="str">
        <f t="shared" si="8"/>
        <v/>
      </c>
      <c r="R103" s="39" t="str">
        <f t="shared" si="9"/>
        <v/>
      </c>
    </row>
    <row r="104" spans="1:18" ht="16.5" customHeight="1">
      <c r="A104" s="24">
        <v>3333</v>
      </c>
      <c r="B104" s="25" t="s">
        <v>105</v>
      </c>
      <c r="C104" s="25" t="s">
        <v>1</v>
      </c>
      <c r="D104" s="26">
        <v>45450</v>
      </c>
      <c r="E104" s="34" t="str">
        <f t="shared" si="5"/>
        <v>Junho</v>
      </c>
      <c r="F104" s="25" t="s">
        <v>300</v>
      </c>
      <c r="G104" s="28">
        <v>15</v>
      </c>
      <c r="H104" s="25" t="s">
        <v>298</v>
      </c>
      <c r="I104" s="25" t="s">
        <v>300</v>
      </c>
      <c r="J104" s="28">
        <v>30</v>
      </c>
      <c r="K104" s="25" t="s">
        <v>300</v>
      </c>
      <c r="L104" s="28">
        <v>20</v>
      </c>
      <c r="M104" s="28">
        <v>20</v>
      </c>
      <c r="N104" s="28">
        <v>45</v>
      </c>
      <c r="O104" s="41">
        <f t="shared" si="6"/>
        <v>1</v>
      </c>
      <c r="P104" s="39">
        <f t="shared" si="7"/>
        <v>30</v>
      </c>
      <c r="Q104" s="41">
        <f t="shared" si="8"/>
        <v>1</v>
      </c>
      <c r="R104" s="39">
        <f t="shared" si="9"/>
        <v>20</v>
      </c>
    </row>
    <row r="105" spans="1:18" ht="16.5" customHeight="1">
      <c r="A105" s="29">
        <v>3334</v>
      </c>
      <c r="B105" s="30" t="s">
        <v>106</v>
      </c>
      <c r="C105" s="30" t="s">
        <v>5</v>
      </c>
      <c r="D105" s="31">
        <v>45451</v>
      </c>
      <c r="E105" s="35" t="str">
        <f t="shared" si="5"/>
        <v>Junho</v>
      </c>
      <c r="F105" s="25" t="s">
        <v>301</v>
      </c>
      <c r="G105" s="27">
        <v>10</v>
      </c>
      <c r="H105" s="30" t="s">
        <v>298</v>
      </c>
      <c r="I105" s="25" t="s">
        <v>301</v>
      </c>
      <c r="J105" s="27" t="s">
        <v>283</v>
      </c>
      <c r="K105" s="25" t="s">
        <v>300</v>
      </c>
      <c r="L105" s="27">
        <v>20</v>
      </c>
      <c r="M105" s="27">
        <v>12</v>
      </c>
      <c r="N105" s="27">
        <v>18</v>
      </c>
      <c r="O105" s="41" t="str">
        <f t="shared" si="6"/>
        <v/>
      </c>
      <c r="P105" s="39" t="str">
        <f t="shared" si="7"/>
        <v/>
      </c>
      <c r="Q105" s="41">
        <f t="shared" si="8"/>
        <v>1</v>
      </c>
      <c r="R105" s="39">
        <f t="shared" si="9"/>
        <v>20</v>
      </c>
    </row>
    <row r="106" spans="1:18" ht="16.5" customHeight="1">
      <c r="A106" s="29">
        <v>3335</v>
      </c>
      <c r="B106" s="30" t="s">
        <v>107</v>
      </c>
      <c r="C106" s="30" t="s">
        <v>3</v>
      </c>
      <c r="D106" s="31">
        <v>45452</v>
      </c>
      <c r="E106" s="35" t="str">
        <f t="shared" si="5"/>
        <v>Junho</v>
      </c>
      <c r="F106" s="25" t="s">
        <v>300</v>
      </c>
      <c r="G106" s="27">
        <v>5</v>
      </c>
      <c r="H106" s="30" t="s">
        <v>297</v>
      </c>
      <c r="I106" s="25" t="s">
        <v>301</v>
      </c>
      <c r="J106" s="27" t="s">
        <v>283</v>
      </c>
      <c r="K106" s="25" t="s">
        <v>301</v>
      </c>
      <c r="L106" s="27">
        <v>0</v>
      </c>
      <c r="M106" s="27">
        <v>2</v>
      </c>
      <c r="N106" s="27">
        <v>3</v>
      </c>
      <c r="O106" s="41" t="str">
        <f t="shared" si="6"/>
        <v/>
      </c>
      <c r="P106" s="39" t="str">
        <f t="shared" si="7"/>
        <v/>
      </c>
      <c r="Q106" s="41" t="str">
        <f t="shared" si="8"/>
        <v/>
      </c>
      <c r="R106" s="39" t="str">
        <f t="shared" si="9"/>
        <v/>
      </c>
    </row>
    <row r="107" spans="1:18" ht="16.5" customHeight="1">
      <c r="A107" s="29">
        <v>3336</v>
      </c>
      <c r="B107" s="30" t="s">
        <v>108</v>
      </c>
      <c r="C107" s="30" t="s">
        <v>3</v>
      </c>
      <c r="D107" s="31">
        <v>45453</v>
      </c>
      <c r="E107" s="35" t="str">
        <f t="shared" si="5"/>
        <v>Junho</v>
      </c>
      <c r="F107" s="25" t="s">
        <v>300</v>
      </c>
      <c r="G107" s="27">
        <v>5</v>
      </c>
      <c r="H107" s="30" t="s">
        <v>297</v>
      </c>
      <c r="I107" s="25" t="s">
        <v>301</v>
      </c>
      <c r="J107" s="27" t="s">
        <v>283</v>
      </c>
      <c r="K107" s="25" t="s">
        <v>301</v>
      </c>
      <c r="L107" s="27">
        <v>0</v>
      </c>
      <c r="M107" s="27">
        <v>0</v>
      </c>
      <c r="N107" s="27">
        <v>5</v>
      </c>
      <c r="O107" s="41" t="str">
        <f t="shared" si="6"/>
        <v/>
      </c>
      <c r="P107" s="39" t="str">
        <f t="shared" si="7"/>
        <v/>
      </c>
      <c r="Q107" s="41" t="str">
        <f t="shared" si="8"/>
        <v/>
      </c>
      <c r="R107" s="39" t="str">
        <f t="shared" si="9"/>
        <v/>
      </c>
    </row>
    <row r="108" spans="1:18" ht="16.5" customHeight="1">
      <c r="A108" s="24">
        <v>3337</v>
      </c>
      <c r="B108" s="25" t="s">
        <v>109</v>
      </c>
      <c r="C108" s="25" t="s">
        <v>1</v>
      </c>
      <c r="D108" s="26">
        <v>45454</v>
      </c>
      <c r="E108" s="34" t="str">
        <f t="shared" si="5"/>
        <v>Junho</v>
      </c>
      <c r="F108" s="25" t="s">
        <v>301</v>
      </c>
      <c r="G108" s="28">
        <v>15</v>
      </c>
      <c r="H108" s="25" t="s">
        <v>298</v>
      </c>
      <c r="I108" s="25" t="s">
        <v>300</v>
      </c>
      <c r="J108" s="28">
        <v>30</v>
      </c>
      <c r="K108" s="25" t="s">
        <v>300</v>
      </c>
      <c r="L108" s="28">
        <v>20</v>
      </c>
      <c r="M108" s="28">
        <v>7</v>
      </c>
      <c r="N108" s="28">
        <v>58</v>
      </c>
      <c r="O108" s="41">
        <f t="shared" si="6"/>
        <v>1</v>
      </c>
      <c r="P108" s="39">
        <f t="shared" si="7"/>
        <v>30</v>
      </c>
      <c r="Q108" s="41">
        <f t="shared" si="8"/>
        <v>1</v>
      </c>
      <c r="R108" s="39">
        <f t="shared" si="9"/>
        <v>20</v>
      </c>
    </row>
    <row r="109" spans="1:18" ht="16.5" customHeight="1">
      <c r="A109" s="29">
        <v>3338</v>
      </c>
      <c r="B109" s="30" t="s">
        <v>110</v>
      </c>
      <c r="C109" s="30" t="s">
        <v>5</v>
      </c>
      <c r="D109" s="31">
        <v>45455</v>
      </c>
      <c r="E109" s="35" t="str">
        <f t="shared" si="5"/>
        <v>Junho</v>
      </c>
      <c r="F109" s="25" t="s">
        <v>300</v>
      </c>
      <c r="G109" s="27">
        <v>10</v>
      </c>
      <c r="H109" s="30" t="s">
        <v>299</v>
      </c>
      <c r="I109" s="25" t="s">
        <v>301</v>
      </c>
      <c r="J109" s="27" t="s">
        <v>283</v>
      </c>
      <c r="K109" s="25" t="s">
        <v>300</v>
      </c>
      <c r="L109" s="27">
        <v>20</v>
      </c>
      <c r="M109" s="27">
        <v>10</v>
      </c>
      <c r="N109" s="27">
        <v>20</v>
      </c>
      <c r="O109" s="41" t="str">
        <f t="shared" si="6"/>
        <v/>
      </c>
      <c r="P109" s="39" t="str">
        <f t="shared" si="7"/>
        <v/>
      </c>
      <c r="Q109" s="41">
        <f t="shared" si="8"/>
        <v>1</v>
      </c>
      <c r="R109" s="39">
        <f t="shared" si="9"/>
        <v>20</v>
      </c>
    </row>
    <row r="110" spans="1:18" ht="16.5" customHeight="1">
      <c r="A110" s="29">
        <v>3339</v>
      </c>
      <c r="B110" s="30" t="s">
        <v>111</v>
      </c>
      <c r="C110" s="30" t="s">
        <v>3</v>
      </c>
      <c r="D110" s="31">
        <v>45456</v>
      </c>
      <c r="E110" s="35" t="str">
        <f t="shared" si="5"/>
        <v>Junho</v>
      </c>
      <c r="F110" s="25" t="s">
        <v>301</v>
      </c>
      <c r="G110" s="27">
        <v>5</v>
      </c>
      <c r="H110" s="30" t="s">
        <v>298</v>
      </c>
      <c r="I110" s="25" t="s">
        <v>301</v>
      </c>
      <c r="J110" s="27" t="s">
        <v>283</v>
      </c>
      <c r="K110" s="25" t="s">
        <v>301</v>
      </c>
      <c r="L110" s="27">
        <v>0</v>
      </c>
      <c r="M110" s="27">
        <v>1</v>
      </c>
      <c r="N110" s="27">
        <v>4</v>
      </c>
      <c r="O110" s="41" t="str">
        <f t="shared" si="6"/>
        <v/>
      </c>
      <c r="P110" s="39" t="str">
        <f t="shared" si="7"/>
        <v/>
      </c>
      <c r="Q110" s="41" t="str">
        <f t="shared" si="8"/>
        <v/>
      </c>
      <c r="R110" s="39" t="str">
        <f t="shared" si="9"/>
        <v/>
      </c>
    </row>
    <row r="111" spans="1:18" ht="16.5" customHeight="1">
      <c r="A111" s="24">
        <v>3340</v>
      </c>
      <c r="B111" s="25" t="s">
        <v>112</v>
      </c>
      <c r="C111" s="25" t="s">
        <v>1</v>
      </c>
      <c r="D111" s="26">
        <v>45457</v>
      </c>
      <c r="E111" s="34" t="str">
        <f t="shared" si="5"/>
        <v>Junho</v>
      </c>
      <c r="F111" s="25" t="s">
        <v>300</v>
      </c>
      <c r="G111" s="28">
        <v>15</v>
      </c>
      <c r="H111" s="25" t="s">
        <v>297</v>
      </c>
      <c r="I111" s="25" t="s">
        <v>300</v>
      </c>
      <c r="J111" s="28">
        <v>30</v>
      </c>
      <c r="K111" s="25" t="s">
        <v>300</v>
      </c>
      <c r="L111" s="28">
        <v>20</v>
      </c>
      <c r="M111" s="28">
        <v>15</v>
      </c>
      <c r="N111" s="28">
        <v>50</v>
      </c>
      <c r="O111" s="41">
        <f t="shared" si="6"/>
        <v>1</v>
      </c>
      <c r="P111" s="39">
        <f t="shared" si="7"/>
        <v>30</v>
      </c>
      <c r="Q111" s="41">
        <f t="shared" si="8"/>
        <v>1</v>
      </c>
      <c r="R111" s="39">
        <f t="shared" si="9"/>
        <v>20</v>
      </c>
    </row>
    <row r="112" spans="1:18" ht="16.5" customHeight="1">
      <c r="A112" s="29">
        <v>3341</v>
      </c>
      <c r="B112" s="30" t="s">
        <v>113</v>
      </c>
      <c r="C112" s="30" t="s">
        <v>5</v>
      </c>
      <c r="D112" s="31">
        <v>45458</v>
      </c>
      <c r="E112" s="35" t="str">
        <f t="shared" si="5"/>
        <v>Junho</v>
      </c>
      <c r="F112" s="25" t="s">
        <v>301</v>
      </c>
      <c r="G112" s="27">
        <v>10</v>
      </c>
      <c r="H112" s="30" t="s">
        <v>297</v>
      </c>
      <c r="I112" s="25" t="s">
        <v>301</v>
      </c>
      <c r="J112" s="27" t="s">
        <v>283</v>
      </c>
      <c r="K112" s="25" t="s">
        <v>300</v>
      </c>
      <c r="L112" s="27">
        <v>20</v>
      </c>
      <c r="M112" s="27">
        <v>5</v>
      </c>
      <c r="N112" s="27">
        <v>25</v>
      </c>
      <c r="O112" s="41" t="str">
        <f t="shared" si="6"/>
        <v/>
      </c>
      <c r="P112" s="39" t="str">
        <f t="shared" si="7"/>
        <v/>
      </c>
      <c r="Q112" s="41">
        <f t="shared" si="8"/>
        <v>1</v>
      </c>
      <c r="R112" s="39">
        <f t="shared" si="9"/>
        <v>20</v>
      </c>
    </row>
    <row r="113" spans="1:18" ht="16.5" customHeight="1">
      <c r="A113" s="29">
        <v>3342</v>
      </c>
      <c r="B113" s="30" t="s">
        <v>114</v>
      </c>
      <c r="C113" s="30" t="s">
        <v>3</v>
      </c>
      <c r="D113" s="31">
        <v>45459</v>
      </c>
      <c r="E113" s="35" t="str">
        <f t="shared" si="5"/>
        <v>Junho</v>
      </c>
      <c r="F113" s="25" t="s">
        <v>300</v>
      </c>
      <c r="G113" s="27">
        <v>5</v>
      </c>
      <c r="H113" s="30" t="s">
        <v>299</v>
      </c>
      <c r="I113" s="25" t="s">
        <v>301</v>
      </c>
      <c r="J113" s="27" t="s">
        <v>283</v>
      </c>
      <c r="K113" s="25" t="s">
        <v>301</v>
      </c>
      <c r="L113" s="27">
        <v>0</v>
      </c>
      <c r="M113" s="27">
        <v>0</v>
      </c>
      <c r="N113" s="27">
        <v>5</v>
      </c>
      <c r="O113" s="41" t="str">
        <f t="shared" si="6"/>
        <v/>
      </c>
      <c r="P113" s="39" t="str">
        <f t="shared" si="7"/>
        <v/>
      </c>
      <c r="Q113" s="41" t="str">
        <f t="shared" si="8"/>
        <v/>
      </c>
      <c r="R113" s="39" t="str">
        <f t="shared" si="9"/>
        <v/>
      </c>
    </row>
    <row r="114" spans="1:18" ht="16.5" customHeight="1">
      <c r="A114" s="24">
        <v>3343</v>
      </c>
      <c r="B114" s="25" t="s">
        <v>115</v>
      </c>
      <c r="C114" s="25" t="s">
        <v>1</v>
      </c>
      <c r="D114" s="26">
        <v>45460</v>
      </c>
      <c r="E114" s="34" t="str">
        <f t="shared" si="5"/>
        <v>Junho</v>
      </c>
      <c r="F114" s="25" t="s">
        <v>301</v>
      </c>
      <c r="G114" s="28">
        <v>15</v>
      </c>
      <c r="H114" s="25" t="s">
        <v>298</v>
      </c>
      <c r="I114" s="25" t="s">
        <v>300</v>
      </c>
      <c r="J114" s="28">
        <v>30</v>
      </c>
      <c r="K114" s="25" t="s">
        <v>300</v>
      </c>
      <c r="L114" s="28">
        <v>20</v>
      </c>
      <c r="M114" s="28">
        <v>20</v>
      </c>
      <c r="N114" s="28">
        <v>45</v>
      </c>
      <c r="O114" s="41">
        <f t="shared" si="6"/>
        <v>1</v>
      </c>
      <c r="P114" s="39">
        <f t="shared" si="7"/>
        <v>30</v>
      </c>
      <c r="Q114" s="41">
        <f t="shared" si="8"/>
        <v>1</v>
      </c>
      <c r="R114" s="39">
        <f t="shared" si="9"/>
        <v>20</v>
      </c>
    </row>
    <row r="115" spans="1:18" ht="16.5" customHeight="1">
      <c r="A115" s="29">
        <v>3344</v>
      </c>
      <c r="B115" s="30" t="s">
        <v>116</v>
      </c>
      <c r="C115" s="30" t="s">
        <v>5</v>
      </c>
      <c r="D115" s="31">
        <v>45461</v>
      </c>
      <c r="E115" s="35" t="str">
        <f t="shared" si="5"/>
        <v>Junho</v>
      </c>
      <c r="F115" s="25" t="s">
        <v>300</v>
      </c>
      <c r="G115" s="27">
        <v>10</v>
      </c>
      <c r="H115" s="30" t="s">
        <v>298</v>
      </c>
      <c r="I115" s="25" t="s">
        <v>301</v>
      </c>
      <c r="J115" s="27" t="s">
        <v>283</v>
      </c>
      <c r="K115" s="25" t="s">
        <v>300</v>
      </c>
      <c r="L115" s="27">
        <v>20</v>
      </c>
      <c r="M115" s="27">
        <v>12</v>
      </c>
      <c r="N115" s="27">
        <v>18</v>
      </c>
      <c r="O115" s="41" t="str">
        <f t="shared" si="6"/>
        <v/>
      </c>
      <c r="P115" s="39" t="str">
        <f t="shared" si="7"/>
        <v/>
      </c>
      <c r="Q115" s="41">
        <f t="shared" si="8"/>
        <v>1</v>
      </c>
      <c r="R115" s="39">
        <f t="shared" si="9"/>
        <v>20</v>
      </c>
    </row>
    <row r="116" spans="1:18" ht="16.5" customHeight="1">
      <c r="A116" s="29">
        <v>3345</v>
      </c>
      <c r="B116" s="30" t="s">
        <v>117</v>
      </c>
      <c r="C116" s="30" t="s">
        <v>3</v>
      </c>
      <c r="D116" s="31">
        <v>45462</v>
      </c>
      <c r="E116" s="35" t="str">
        <f t="shared" si="5"/>
        <v>Junho</v>
      </c>
      <c r="F116" s="25" t="s">
        <v>301</v>
      </c>
      <c r="G116" s="27">
        <v>5</v>
      </c>
      <c r="H116" s="30" t="s">
        <v>297</v>
      </c>
      <c r="I116" s="25" t="s">
        <v>301</v>
      </c>
      <c r="J116" s="27" t="s">
        <v>283</v>
      </c>
      <c r="K116" s="25" t="s">
        <v>301</v>
      </c>
      <c r="L116" s="27">
        <v>0</v>
      </c>
      <c r="M116" s="27">
        <v>2</v>
      </c>
      <c r="N116" s="27">
        <v>3</v>
      </c>
      <c r="O116" s="41" t="str">
        <f t="shared" si="6"/>
        <v/>
      </c>
      <c r="P116" s="39" t="str">
        <f t="shared" si="7"/>
        <v/>
      </c>
      <c r="Q116" s="41" t="str">
        <f t="shared" si="8"/>
        <v/>
      </c>
      <c r="R116" s="39" t="str">
        <f t="shared" si="9"/>
        <v/>
      </c>
    </row>
    <row r="117" spans="1:18" ht="16.5" customHeight="1">
      <c r="A117" s="24">
        <v>3346</v>
      </c>
      <c r="B117" s="25" t="s">
        <v>118</v>
      </c>
      <c r="C117" s="25" t="s">
        <v>1</v>
      </c>
      <c r="D117" s="26">
        <v>45463</v>
      </c>
      <c r="E117" s="34" t="str">
        <f t="shared" si="5"/>
        <v>Junho</v>
      </c>
      <c r="F117" s="25" t="s">
        <v>300</v>
      </c>
      <c r="G117" s="28">
        <v>15</v>
      </c>
      <c r="H117" s="25" t="s">
        <v>299</v>
      </c>
      <c r="I117" s="25" t="s">
        <v>300</v>
      </c>
      <c r="J117" s="28">
        <v>30</v>
      </c>
      <c r="K117" s="25" t="s">
        <v>300</v>
      </c>
      <c r="L117" s="28">
        <v>20</v>
      </c>
      <c r="M117" s="28">
        <v>5</v>
      </c>
      <c r="N117" s="28">
        <v>60</v>
      </c>
      <c r="O117" s="41">
        <f t="shared" si="6"/>
        <v>1</v>
      </c>
      <c r="P117" s="39">
        <f t="shared" si="7"/>
        <v>30</v>
      </c>
      <c r="Q117" s="41">
        <f t="shared" si="8"/>
        <v>1</v>
      </c>
      <c r="R117" s="39">
        <f t="shared" si="9"/>
        <v>20</v>
      </c>
    </row>
    <row r="118" spans="1:18" ht="16.5" customHeight="1">
      <c r="A118" s="29">
        <v>3347</v>
      </c>
      <c r="B118" s="30" t="s">
        <v>119</v>
      </c>
      <c r="C118" s="30" t="s">
        <v>5</v>
      </c>
      <c r="D118" s="31">
        <v>45464</v>
      </c>
      <c r="E118" s="35" t="str">
        <f t="shared" si="5"/>
        <v>Junho</v>
      </c>
      <c r="F118" s="25" t="s">
        <v>301</v>
      </c>
      <c r="G118" s="27">
        <v>10</v>
      </c>
      <c r="H118" s="30" t="s">
        <v>297</v>
      </c>
      <c r="I118" s="25" t="s">
        <v>301</v>
      </c>
      <c r="J118" s="27" t="s">
        <v>283</v>
      </c>
      <c r="K118" s="25" t="s">
        <v>300</v>
      </c>
      <c r="L118" s="27">
        <v>20</v>
      </c>
      <c r="M118" s="27">
        <v>10</v>
      </c>
      <c r="N118" s="27">
        <v>20</v>
      </c>
      <c r="O118" s="41" t="str">
        <f t="shared" si="6"/>
        <v/>
      </c>
      <c r="P118" s="39" t="str">
        <f t="shared" si="7"/>
        <v/>
      </c>
      <c r="Q118" s="41">
        <f t="shared" si="8"/>
        <v>1</v>
      </c>
      <c r="R118" s="39">
        <f t="shared" si="9"/>
        <v>20</v>
      </c>
    </row>
    <row r="119" spans="1:18" ht="16.5" customHeight="1">
      <c r="A119" s="29">
        <v>3348</v>
      </c>
      <c r="B119" s="30" t="s">
        <v>120</v>
      </c>
      <c r="C119" s="30" t="s">
        <v>3</v>
      </c>
      <c r="D119" s="31">
        <v>45465</v>
      </c>
      <c r="E119" s="35" t="str">
        <f t="shared" si="5"/>
        <v>Junho</v>
      </c>
      <c r="F119" s="25" t="s">
        <v>300</v>
      </c>
      <c r="G119" s="27">
        <v>5</v>
      </c>
      <c r="H119" s="30" t="s">
        <v>298</v>
      </c>
      <c r="I119" s="25" t="s">
        <v>301</v>
      </c>
      <c r="J119" s="27" t="s">
        <v>283</v>
      </c>
      <c r="K119" s="25" t="s">
        <v>301</v>
      </c>
      <c r="L119" s="27">
        <v>0</v>
      </c>
      <c r="M119" s="27">
        <v>0</v>
      </c>
      <c r="N119" s="27">
        <v>5</v>
      </c>
      <c r="O119" s="41" t="str">
        <f t="shared" si="6"/>
        <v/>
      </c>
      <c r="P119" s="39" t="str">
        <f t="shared" si="7"/>
        <v/>
      </c>
      <c r="Q119" s="41" t="str">
        <f t="shared" si="8"/>
        <v/>
      </c>
      <c r="R119" s="39" t="str">
        <f t="shared" si="9"/>
        <v/>
      </c>
    </row>
    <row r="120" spans="1:18" ht="16.5" customHeight="1">
      <c r="A120" s="24">
        <v>3349</v>
      </c>
      <c r="B120" s="25" t="s">
        <v>96</v>
      </c>
      <c r="C120" s="25" t="s">
        <v>1</v>
      </c>
      <c r="D120" s="26">
        <v>45466</v>
      </c>
      <c r="E120" s="34" t="str">
        <f t="shared" si="5"/>
        <v>Junho</v>
      </c>
      <c r="F120" s="25" t="s">
        <v>301</v>
      </c>
      <c r="G120" s="28">
        <v>15</v>
      </c>
      <c r="H120" s="25" t="s">
        <v>297</v>
      </c>
      <c r="I120" s="25" t="s">
        <v>300</v>
      </c>
      <c r="J120" s="28">
        <v>30</v>
      </c>
      <c r="K120" s="25" t="s">
        <v>300</v>
      </c>
      <c r="L120" s="28">
        <v>20</v>
      </c>
      <c r="M120" s="28">
        <v>3</v>
      </c>
      <c r="N120" s="28">
        <v>62</v>
      </c>
      <c r="O120" s="41">
        <f t="shared" si="6"/>
        <v>1</v>
      </c>
      <c r="P120" s="39">
        <f t="shared" si="7"/>
        <v>30</v>
      </c>
      <c r="Q120" s="41">
        <f t="shared" si="8"/>
        <v>1</v>
      </c>
      <c r="R120" s="39">
        <f t="shared" si="9"/>
        <v>20</v>
      </c>
    </row>
    <row r="121" spans="1:18" ht="16.5" customHeight="1">
      <c r="A121" s="29">
        <v>3350</v>
      </c>
      <c r="B121" s="30" t="s">
        <v>121</v>
      </c>
      <c r="C121" s="30" t="s">
        <v>5</v>
      </c>
      <c r="D121" s="31">
        <v>45467</v>
      </c>
      <c r="E121" s="35" t="str">
        <f t="shared" si="5"/>
        <v>Junho</v>
      </c>
      <c r="F121" s="25" t="s">
        <v>300</v>
      </c>
      <c r="G121" s="27">
        <v>10</v>
      </c>
      <c r="H121" s="30" t="s">
        <v>299</v>
      </c>
      <c r="I121" s="25" t="s">
        <v>301</v>
      </c>
      <c r="J121" s="27" t="s">
        <v>283</v>
      </c>
      <c r="K121" s="25" t="s">
        <v>300</v>
      </c>
      <c r="L121" s="27">
        <v>20</v>
      </c>
      <c r="M121" s="27">
        <v>15</v>
      </c>
      <c r="N121" s="27">
        <v>15</v>
      </c>
      <c r="O121" s="41" t="str">
        <f t="shared" si="6"/>
        <v/>
      </c>
      <c r="P121" s="39" t="str">
        <f t="shared" si="7"/>
        <v/>
      </c>
      <c r="Q121" s="41">
        <f t="shared" si="8"/>
        <v>1</v>
      </c>
      <c r="R121" s="39">
        <f t="shared" si="9"/>
        <v>20</v>
      </c>
    </row>
    <row r="122" spans="1:18" ht="16.5" customHeight="1">
      <c r="A122" s="29">
        <v>3351</v>
      </c>
      <c r="B122" s="30" t="s">
        <v>122</v>
      </c>
      <c r="C122" s="30" t="s">
        <v>3</v>
      </c>
      <c r="D122" s="31">
        <v>45468</v>
      </c>
      <c r="E122" s="35" t="str">
        <f t="shared" si="5"/>
        <v>Junho</v>
      </c>
      <c r="F122" s="25" t="s">
        <v>301</v>
      </c>
      <c r="G122" s="27">
        <v>5</v>
      </c>
      <c r="H122" s="30" t="s">
        <v>297</v>
      </c>
      <c r="I122" s="25" t="s">
        <v>301</v>
      </c>
      <c r="J122" s="27" t="s">
        <v>283</v>
      </c>
      <c r="K122" s="25" t="s">
        <v>301</v>
      </c>
      <c r="L122" s="27">
        <v>0</v>
      </c>
      <c r="M122" s="27">
        <v>1</v>
      </c>
      <c r="N122" s="27">
        <v>4</v>
      </c>
      <c r="O122" s="41" t="str">
        <f t="shared" si="6"/>
        <v/>
      </c>
      <c r="P122" s="39" t="str">
        <f t="shared" si="7"/>
        <v/>
      </c>
      <c r="Q122" s="41" t="str">
        <f t="shared" si="8"/>
        <v/>
      </c>
      <c r="R122" s="39" t="str">
        <f t="shared" si="9"/>
        <v/>
      </c>
    </row>
    <row r="123" spans="1:18" ht="16.5" customHeight="1">
      <c r="A123" s="24">
        <v>3352</v>
      </c>
      <c r="B123" s="25" t="s">
        <v>123</v>
      </c>
      <c r="C123" s="25" t="s">
        <v>1</v>
      </c>
      <c r="D123" s="26">
        <v>45469</v>
      </c>
      <c r="E123" s="34" t="str">
        <f t="shared" si="5"/>
        <v>Junho</v>
      </c>
      <c r="F123" s="25" t="s">
        <v>300</v>
      </c>
      <c r="G123" s="28">
        <v>15</v>
      </c>
      <c r="H123" s="25" t="s">
        <v>298</v>
      </c>
      <c r="I123" s="25" t="s">
        <v>300</v>
      </c>
      <c r="J123" s="28">
        <v>30</v>
      </c>
      <c r="K123" s="25" t="s">
        <v>300</v>
      </c>
      <c r="L123" s="28">
        <v>20</v>
      </c>
      <c r="M123" s="28">
        <v>7</v>
      </c>
      <c r="N123" s="28">
        <v>58</v>
      </c>
      <c r="O123" s="41">
        <f t="shared" si="6"/>
        <v>1</v>
      </c>
      <c r="P123" s="39">
        <f t="shared" si="7"/>
        <v>30</v>
      </c>
      <c r="Q123" s="41">
        <f t="shared" si="8"/>
        <v>1</v>
      </c>
      <c r="R123" s="39">
        <f t="shared" si="9"/>
        <v>20</v>
      </c>
    </row>
    <row r="124" spans="1:18" ht="16.5" customHeight="1">
      <c r="A124" s="29">
        <v>3353</v>
      </c>
      <c r="B124" s="30" t="s">
        <v>124</v>
      </c>
      <c r="C124" s="30" t="s">
        <v>5</v>
      </c>
      <c r="D124" s="31">
        <v>45470</v>
      </c>
      <c r="E124" s="35" t="str">
        <f t="shared" si="5"/>
        <v>Junho</v>
      </c>
      <c r="F124" s="25" t="s">
        <v>301</v>
      </c>
      <c r="G124" s="27">
        <v>10</v>
      </c>
      <c r="H124" s="30" t="s">
        <v>297</v>
      </c>
      <c r="I124" s="25" t="s">
        <v>301</v>
      </c>
      <c r="J124" s="27" t="s">
        <v>283</v>
      </c>
      <c r="K124" s="25" t="s">
        <v>300</v>
      </c>
      <c r="L124" s="27">
        <v>20</v>
      </c>
      <c r="M124" s="27">
        <v>10</v>
      </c>
      <c r="N124" s="27">
        <v>20</v>
      </c>
      <c r="O124" s="41" t="str">
        <f t="shared" si="6"/>
        <v/>
      </c>
      <c r="P124" s="39" t="str">
        <f t="shared" si="7"/>
        <v/>
      </c>
      <c r="Q124" s="41">
        <f t="shared" si="8"/>
        <v>1</v>
      </c>
      <c r="R124" s="39">
        <f t="shared" si="9"/>
        <v>20</v>
      </c>
    </row>
    <row r="125" spans="1:18" ht="16.5" customHeight="1">
      <c r="A125" s="29">
        <v>3354</v>
      </c>
      <c r="B125" s="30" t="s">
        <v>125</v>
      </c>
      <c r="C125" s="30" t="s">
        <v>3</v>
      </c>
      <c r="D125" s="31">
        <v>45471</v>
      </c>
      <c r="E125" s="35" t="str">
        <f t="shared" si="5"/>
        <v>Junho</v>
      </c>
      <c r="F125" s="25" t="s">
        <v>300</v>
      </c>
      <c r="G125" s="27">
        <v>5</v>
      </c>
      <c r="H125" s="30" t="s">
        <v>299</v>
      </c>
      <c r="I125" s="25" t="s">
        <v>301</v>
      </c>
      <c r="J125" s="27" t="s">
        <v>283</v>
      </c>
      <c r="K125" s="25" t="s">
        <v>301</v>
      </c>
      <c r="L125" s="27">
        <v>0</v>
      </c>
      <c r="M125" s="27">
        <v>0</v>
      </c>
      <c r="N125" s="27">
        <v>5</v>
      </c>
      <c r="O125" s="41" t="str">
        <f t="shared" si="6"/>
        <v/>
      </c>
      <c r="P125" s="39" t="str">
        <f t="shared" si="7"/>
        <v/>
      </c>
      <c r="Q125" s="41" t="str">
        <f t="shared" si="8"/>
        <v/>
      </c>
      <c r="R125" s="39" t="str">
        <f t="shared" si="9"/>
        <v/>
      </c>
    </row>
    <row r="126" spans="1:18" ht="16.5" customHeight="1">
      <c r="A126" s="24">
        <v>3355</v>
      </c>
      <c r="B126" s="25" t="s">
        <v>126</v>
      </c>
      <c r="C126" s="25" t="s">
        <v>1</v>
      </c>
      <c r="D126" s="26">
        <v>45472</v>
      </c>
      <c r="E126" s="34" t="str">
        <f t="shared" si="5"/>
        <v>Junho</v>
      </c>
      <c r="F126" s="25" t="s">
        <v>301</v>
      </c>
      <c r="G126" s="28">
        <v>15</v>
      </c>
      <c r="H126" s="25" t="s">
        <v>297</v>
      </c>
      <c r="I126" s="25" t="s">
        <v>300</v>
      </c>
      <c r="J126" s="28">
        <v>30</v>
      </c>
      <c r="K126" s="25" t="s">
        <v>300</v>
      </c>
      <c r="L126" s="28">
        <v>20</v>
      </c>
      <c r="M126" s="28">
        <v>20</v>
      </c>
      <c r="N126" s="28">
        <v>45</v>
      </c>
      <c r="O126" s="41">
        <f t="shared" si="6"/>
        <v>1</v>
      </c>
      <c r="P126" s="39">
        <f t="shared" si="7"/>
        <v>30</v>
      </c>
      <c r="Q126" s="41">
        <f t="shared" si="8"/>
        <v>1</v>
      </c>
      <c r="R126" s="39">
        <f t="shared" si="9"/>
        <v>20</v>
      </c>
    </row>
    <row r="127" spans="1:18" ht="16.5" customHeight="1">
      <c r="A127" s="29">
        <v>3356</v>
      </c>
      <c r="B127" s="30" t="s">
        <v>127</v>
      </c>
      <c r="C127" s="30" t="s">
        <v>5</v>
      </c>
      <c r="D127" s="31">
        <v>45473</v>
      </c>
      <c r="E127" s="35" t="str">
        <f t="shared" si="5"/>
        <v>Junho</v>
      </c>
      <c r="F127" s="25" t="s">
        <v>300</v>
      </c>
      <c r="G127" s="27">
        <v>10</v>
      </c>
      <c r="H127" s="30" t="s">
        <v>298</v>
      </c>
      <c r="I127" s="25" t="s">
        <v>301</v>
      </c>
      <c r="J127" s="27" t="s">
        <v>283</v>
      </c>
      <c r="K127" s="25" t="s">
        <v>300</v>
      </c>
      <c r="L127" s="27">
        <v>20</v>
      </c>
      <c r="M127" s="27">
        <v>15</v>
      </c>
      <c r="N127" s="27">
        <v>15</v>
      </c>
      <c r="O127" s="41" t="str">
        <f t="shared" si="6"/>
        <v/>
      </c>
      <c r="P127" s="39" t="str">
        <f t="shared" si="7"/>
        <v/>
      </c>
      <c r="Q127" s="41">
        <f t="shared" si="8"/>
        <v>1</v>
      </c>
      <c r="R127" s="39">
        <f t="shared" si="9"/>
        <v>20</v>
      </c>
    </row>
    <row r="128" spans="1:18" ht="16.5" customHeight="1">
      <c r="A128" s="29">
        <v>3357</v>
      </c>
      <c r="B128" s="30" t="s">
        <v>128</v>
      </c>
      <c r="C128" s="30" t="s">
        <v>3</v>
      </c>
      <c r="D128" s="31">
        <v>45474</v>
      </c>
      <c r="E128" s="35" t="str">
        <f t="shared" si="5"/>
        <v>Julho</v>
      </c>
      <c r="F128" s="25" t="s">
        <v>301</v>
      </c>
      <c r="G128" s="27">
        <v>5</v>
      </c>
      <c r="H128" s="30" t="s">
        <v>297</v>
      </c>
      <c r="I128" s="25" t="s">
        <v>301</v>
      </c>
      <c r="J128" s="27" t="s">
        <v>283</v>
      </c>
      <c r="K128" s="25" t="s">
        <v>301</v>
      </c>
      <c r="L128" s="27">
        <v>0</v>
      </c>
      <c r="M128" s="27">
        <v>1</v>
      </c>
      <c r="N128" s="27">
        <v>4</v>
      </c>
      <c r="O128" s="41" t="str">
        <f t="shared" si="6"/>
        <v/>
      </c>
      <c r="P128" s="39" t="str">
        <f t="shared" si="7"/>
        <v/>
      </c>
      <c r="Q128" s="41" t="str">
        <f t="shared" si="8"/>
        <v/>
      </c>
      <c r="R128" s="39" t="str">
        <f t="shared" si="9"/>
        <v/>
      </c>
    </row>
    <row r="129" spans="1:18" ht="16.5" customHeight="1">
      <c r="A129" s="24">
        <v>3358</v>
      </c>
      <c r="B129" s="25" t="s">
        <v>129</v>
      </c>
      <c r="C129" s="25" t="s">
        <v>1</v>
      </c>
      <c r="D129" s="26">
        <v>45475</v>
      </c>
      <c r="E129" s="34" t="str">
        <f t="shared" si="5"/>
        <v>Julho</v>
      </c>
      <c r="F129" s="25" t="s">
        <v>300</v>
      </c>
      <c r="G129" s="28">
        <v>15</v>
      </c>
      <c r="H129" s="25" t="s">
        <v>299</v>
      </c>
      <c r="I129" s="25" t="s">
        <v>300</v>
      </c>
      <c r="J129" s="28">
        <v>30</v>
      </c>
      <c r="K129" s="25" t="s">
        <v>300</v>
      </c>
      <c r="L129" s="28">
        <v>20</v>
      </c>
      <c r="M129" s="28">
        <v>3</v>
      </c>
      <c r="N129" s="28">
        <v>62</v>
      </c>
      <c r="O129" s="41">
        <f t="shared" si="6"/>
        <v>1</v>
      </c>
      <c r="P129" s="39">
        <f t="shared" si="7"/>
        <v>30</v>
      </c>
      <c r="Q129" s="41">
        <f t="shared" si="8"/>
        <v>1</v>
      </c>
      <c r="R129" s="39">
        <f t="shared" si="9"/>
        <v>20</v>
      </c>
    </row>
    <row r="130" spans="1:18" ht="16.5" customHeight="1">
      <c r="A130" s="29">
        <v>3359</v>
      </c>
      <c r="B130" s="30" t="s">
        <v>130</v>
      </c>
      <c r="C130" s="30" t="s">
        <v>5</v>
      </c>
      <c r="D130" s="31">
        <v>45476</v>
      </c>
      <c r="E130" s="35" t="str">
        <f t="shared" ref="E130:E193" si="10">PROPER(TEXT($D130,"mmmm"))</f>
        <v>Julho</v>
      </c>
      <c r="F130" s="25" t="s">
        <v>301</v>
      </c>
      <c r="G130" s="27">
        <v>10</v>
      </c>
      <c r="H130" s="30" t="s">
        <v>297</v>
      </c>
      <c r="I130" s="25" t="s">
        <v>301</v>
      </c>
      <c r="J130" s="27" t="s">
        <v>283</v>
      </c>
      <c r="K130" s="25" t="s">
        <v>300</v>
      </c>
      <c r="L130" s="27">
        <v>20</v>
      </c>
      <c r="M130" s="27">
        <v>10</v>
      </c>
      <c r="N130" s="27">
        <v>20</v>
      </c>
      <c r="O130" s="41" t="str">
        <f t="shared" ref="O130:O193" si="11">IF($I130="Sim",1,"")</f>
        <v/>
      </c>
      <c r="P130" s="39" t="str">
        <f t="shared" ref="P130:P193" si="12">IF($I130="Sim",$J130,"")</f>
        <v/>
      </c>
      <c r="Q130" s="41">
        <f t="shared" ref="Q130:Q193" si="13">IF($K130="Sim",1,"")</f>
        <v>1</v>
      </c>
      <c r="R130" s="39">
        <f t="shared" ref="R130:R193" si="14">IF($K130="Sim",$L130,"")</f>
        <v>20</v>
      </c>
    </row>
    <row r="131" spans="1:18" ht="16.5" customHeight="1">
      <c r="A131" s="29">
        <v>3360</v>
      </c>
      <c r="B131" s="30" t="s">
        <v>131</v>
      </c>
      <c r="C131" s="30" t="s">
        <v>3</v>
      </c>
      <c r="D131" s="31">
        <v>45477</v>
      </c>
      <c r="E131" s="35" t="str">
        <f t="shared" si="10"/>
        <v>Julho</v>
      </c>
      <c r="F131" s="25" t="s">
        <v>300</v>
      </c>
      <c r="G131" s="27">
        <v>5</v>
      </c>
      <c r="H131" s="30" t="s">
        <v>298</v>
      </c>
      <c r="I131" s="25" t="s">
        <v>301</v>
      </c>
      <c r="J131" s="27" t="s">
        <v>283</v>
      </c>
      <c r="K131" s="25" t="s">
        <v>301</v>
      </c>
      <c r="L131" s="27">
        <v>0</v>
      </c>
      <c r="M131" s="27">
        <v>0</v>
      </c>
      <c r="N131" s="27">
        <v>5</v>
      </c>
      <c r="O131" s="41" t="str">
        <f t="shared" si="11"/>
        <v/>
      </c>
      <c r="P131" s="39" t="str">
        <f t="shared" si="12"/>
        <v/>
      </c>
      <c r="Q131" s="41" t="str">
        <f t="shared" si="13"/>
        <v/>
      </c>
      <c r="R131" s="39" t="str">
        <f t="shared" si="14"/>
        <v/>
      </c>
    </row>
    <row r="132" spans="1:18" ht="16.5" customHeight="1">
      <c r="A132" s="24">
        <v>3361</v>
      </c>
      <c r="B132" s="25" t="s">
        <v>132</v>
      </c>
      <c r="C132" s="25" t="s">
        <v>1</v>
      </c>
      <c r="D132" s="26">
        <v>45478</v>
      </c>
      <c r="E132" s="34" t="str">
        <f t="shared" si="10"/>
        <v>Julho</v>
      </c>
      <c r="F132" s="25" t="s">
        <v>301</v>
      </c>
      <c r="G132" s="28">
        <v>15</v>
      </c>
      <c r="H132" s="25" t="s">
        <v>297</v>
      </c>
      <c r="I132" s="25" t="s">
        <v>300</v>
      </c>
      <c r="J132" s="28">
        <v>30</v>
      </c>
      <c r="K132" s="25" t="s">
        <v>300</v>
      </c>
      <c r="L132" s="28">
        <v>20</v>
      </c>
      <c r="M132" s="28">
        <v>15</v>
      </c>
      <c r="N132" s="28">
        <v>50</v>
      </c>
      <c r="O132" s="41">
        <f t="shared" si="11"/>
        <v>1</v>
      </c>
      <c r="P132" s="39">
        <f t="shared" si="12"/>
        <v>30</v>
      </c>
      <c r="Q132" s="41">
        <f t="shared" si="13"/>
        <v>1</v>
      </c>
      <c r="R132" s="39">
        <f t="shared" si="14"/>
        <v>20</v>
      </c>
    </row>
    <row r="133" spans="1:18" ht="16.5" customHeight="1">
      <c r="A133" s="29">
        <v>3362</v>
      </c>
      <c r="B133" s="30" t="s">
        <v>133</v>
      </c>
      <c r="C133" s="30" t="s">
        <v>5</v>
      </c>
      <c r="D133" s="31">
        <v>45479</v>
      </c>
      <c r="E133" s="35" t="str">
        <f t="shared" si="10"/>
        <v>Julho</v>
      </c>
      <c r="F133" s="25" t="s">
        <v>300</v>
      </c>
      <c r="G133" s="27">
        <v>10</v>
      </c>
      <c r="H133" s="30" t="s">
        <v>299</v>
      </c>
      <c r="I133" s="25" t="s">
        <v>301</v>
      </c>
      <c r="J133" s="27" t="s">
        <v>283</v>
      </c>
      <c r="K133" s="25" t="s">
        <v>300</v>
      </c>
      <c r="L133" s="27">
        <v>20</v>
      </c>
      <c r="M133" s="27">
        <v>15</v>
      </c>
      <c r="N133" s="27">
        <v>15</v>
      </c>
      <c r="O133" s="41" t="str">
        <f t="shared" si="11"/>
        <v/>
      </c>
      <c r="P133" s="39" t="str">
        <f t="shared" si="12"/>
        <v/>
      </c>
      <c r="Q133" s="41">
        <f t="shared" si="13"/>
        <v>1</v>
      </c>
      <c r="R133" s="39">
        <f t="shared" si="14"/>
        <v>20</v>
      </c>
    </row>
    <row r="134" spans="1:18" ht="16.5" customHeight="1">
      <c r="A134" s="29">
        <v>3363</v>
      </c>
      <c r="B134" s="30" t="s">
        <v>134</v>
      </c>
      <c r="C134" s="30" t="s">
        <v>3</v>
      </c>
      <c r="D134" s="31">
        <v>45480</v>
      </c>
      <c r="E134" s="35" t="str">
        <f t="shared" si="10"/>
        <v>Julho</v>
      </c>
      <c r="F134" s="25" t="s">
        <v>301</v>
      </c>
      <c r="G134" s="27">
        <v>5</v>
      </c>
      <c r="H134" s="30" t="s">
        <v>297</v>
      </c>
      <c r="I134" s="25" t="s">
        <v>301</v>
      </c>
      <c r="J134" s="27" t="s">
        <v>283</v>
      </c>
      <c r="K134" s="25" t="s">
        <v>301</v>
      </c>
      <c r="L134" s="27">
        <v>0</v>
      </c>
      <c r="M134" s="27">
        <v>1</v>
      </c>
      <c r="N134" s="27">
        <v>4</v>
      </c>
      <c r="O134" s="41" t="str">
        <f t="shared" si="11"/>
        <v/>
      </c>
      <c r="P134" s="39" t="str">
        <f t="shared" si="12"/>
        <v/>
      </c>
      <c r="Q134" s="41" t="str">
        <f t="shared" si="13"/>
        <v/>
      </c>
      <c r="R134" s="39" t="str">
        <f t="shared" si="14"/>
        <v/>
      </c>
    </row>
    <row r="135" spans="1:18" ht="16.5" customHeight="1">
      <c r="A135" s="24">
        <v>3364</v>
      </c>
      <c r="B135" s="25" t="s">
        <v>135</v>
      </c>
      <c r="C135" s="25" t="s">
        <v>1</v>
      </c>
      <c r="D135" s="26">
        <v>45481</v>
      </c>
      <c r="E135" s="34" t="str">
        <f t="shared" si="10"/>
        <v>Julho</v>
      </c>
      <c r="F135" s="25" t="s">
        <v>300</v>
      </c>
      <c r="G135" s="28">
        <v>15</v>
      </c>
      <c r="H135" s="25" t="s">
        <v>298</v>
      </c>
      <c r="I135" s="25" t="s">
        <v>300</v>
      </c>
      <c r="J135" s="28">
        <v>30</v>
      </c>
      <c r="K135" s="25" t="s">
        <v>300</v>
      </c>
      <c r="L135" s="28">
        <v>20</v>
      </c>
      <c r="M135" s="28">
        <v>7</v>
      </c>
      <c r="N135" s="28">
        <v>58</v>
      </c>
      <c r="O135" s="41">
        <f t="shared" si="11"/>
        <v>1</v>
      </c>
      <c r="P135" s="39">
        <f t="shared" si="12"/>
        <v>30</v>
      </c>
      <c r="Q135" s="41">
        <f t="shared" si="13"/>
        <v>1</v>
      </c>
      <c r="R135" s="39">
        <f t="shared" si="14"/>
        <v>20</v>
      </c>
    </row>
    <row r="136" spans="1:18" ht="16.5" customHeight="1">
      <c r="A136" s="29">
        <v>3365</v>
      </c>
      <c r="B136" s="30" t="s">
        <v>136</v>
      </c>
      <c r="C136" s="30" t="s">
        <v>5</v>
      </c>
      <c r="D136" s="31">
        <v>45482</v>
      </c>
      <c r="E136" s="35" t="str">
        <f t="shared" si="10"/>
        <v>Julho</v>
      </c>
      <c r="F136" s="25" t="s">
        <v>301</v>
      </c>
      <c r="G136" s="27">
        <v>10</v>
      </c>
      <c r="H136" s="30" t="s">
        <v>297</v>
      </c>
      <c r="I136" s="25" t="s">
        <v>301</v>
      </c>
      <c r="J136" s="27" t="s">
        <v>283</v>
      </c>
      <c r="K136" s="25" t="s">
        <v>300</v>
      </c>
      <c r="L136" s="27">
        <v>20</v>
      </c>
      <c r="M136" s="27">
        <v>10</v>
      </c>
      <c r="N136" s="27">
        <v>20</v>
      </c>
      <c r="O136" s="41" t="str">
        <f t="shared" si="11"/>
        <v/>
      </c>
      <c r="P136" s="39" t="str">
        <f t="shared" si="12"/>
        <v/>
      </c>
      <c r="Q136" s="41">
        <f t="shared" si="13"/>
        <v>1</v>
      </c>
      <c r="R136" s="39">
        <f t="shared" si="14"/>
        <v>20</v>
      </c>
    </row>
    <row r="137" spans="1:18" ht="16.5" customHeight="1">
      <c r="A137" s="29">
        <v>3366</v>
      </c>
      <c r="B137" s="30" t="s">
        <v>137</v>
      </c>
      <c r="C137" s="30" t="s">
        <v>3</v>
      </c>
      <c r="D137" s="31">
        <v>45483</v>
      </c>
      <c r="E137" s="35" t="str">
        <f t="shared" si="10"/>
        <v>Julho</v>
      </c>
      <c r="F137" s="25" t="s">
        <v>300</v>
      </c>
      <c r="G137" s="27">
        <v>5</v>
      </c>
      <c r="H137" s="30" t="s">
        <v>297</v>
      </c>
      <c r="I137" s="25" t="s">
        <v>301</v>
      </c>
      <c r="J137" s="27" t="s">
        <v>283</v>
      </c>
      <c r="K137" s="25" t="s">
        <v>301</v>
      </c>
      <c r="L137" s="27">
        <v>0</v>
      </c>
      <c r="M137" s="27">
        <v>0</v>
      </c>
      <c r="N137" s="27">
        <v>5</v>
      </c>
      <c r="O137" s="41" t="str">
        <f t="shared" si="11"/>
        <v/>
      </c>
      <c r="P137" s="39" t="str">
        <f t="shared" si="12"/>
        <v/>
      </c>
      <c r="Q137" s="41" t="str">
        <f t="shared" si="13"/>
        <v/>
      </c>
      <c r="R137" s="39" t="str">
        <f t="shared" si="14"/>
        <v/>
      </c>
    </row>
    <row r="138" spans="1:18" ht="16.5" customHeight="1">
      <c r="A138" s="24">
        <v>3367</v>
      </c>
      <c r="B138" s="25" t="s">
        <v>138</v>
      </c>
      <c r="C138" s="25" t="s">
        <v>1</v>
      </c>
      <c r="D138" s="26">
        <v>45484</v>
      </c>
      <c r="E138" s="34" t="str">
        <f t="shared" si="10"/>
        <v>Julho</v>
      </c>
      <c r="F138" s="25" t="s">
        <v>301</v>
      </c>
      <c r="G138" s="28">
        <v>15</v>
      </c>
      <c r="H138" s="25" t="s">
        <v>298</v>
      </c>
      <c r="I138" s="25" t="s">
        <v>300</v>
      </c>
      <c r="J138" s="28">
        <v>30</v>
      </c>
      <c r="K138" s="25" t="s">
        <v>300</v>
      </c>
      <c r="L138" s="28">
        <v>20</v>
      </c>
      <c r="M138" s="28">
        <v>7</v>
      </c>
      <c r="N138" s="28">
        <v>58</v>
      </c>
      <c r="O138" s="41">
        <f t="shared" si="11"/>
        <v>1</v>
      </c>
      <c r="P138" s="39">
        <f t="shared" si="12"/>
        <v>30</v>
      </c>
      <c r="Q138" s="41">
        <f t="shared" si="13"/>
        <v>1</v>
      </c>
      <c r="R138" s="39">
        <f t="shared" si="14"/>
        <v>20</v>
      </c>
    </row>
    <row r="139" spans="1:18" ht="16.5" customHeight="1">
      <c r="A139" s="29">
        <v>3368</v>
      </c>
      <c r="B139" s="30" t="s">
        <v>139</v>
      </c>
      <c r="C139" s="30" t="s">
        <v>5</v>
      </c>
      <c r="D139" s="31">
        <v>45485</v>
      </c>
      <c r="E139" s="35" t="str">
        <f t="shared" si="10"/>
        <v>Julho</v>
      </c>
      <c r="F139" s="25" t="s">
        <v>300</v>
      </c>
      <c r="G139" s="27">
        <v>10</v>
      </c>
      <c r="H139" s="30" t="s">
        <v>299</v>
      </c>
      <c r="I139" s="25" t="s">
        <v>301</v>
      </c>
      <c r="J139" s="27" t="s">
        <v>283</v>
      </c>
      <c r="K139" s="25" t="s">
        <v>300</v>
      </c>
      <c r="L139" s="27">
        <v>20</v>
      </c>
      <c r="M139" s="27">
        <v>10</v>
      </c>
      <c r="N139" s="27">
        <v>20</v>
      </c>
      <c r="O139" s="41" t="str">
        <f t="shared" si="11"/>
        <v/>
      </c>
      <c r="P139" s="39" t="str">
        <f t="shared" si="12"/>
        <v/>
      </c>
      <c r="Q139" s="41">
        <f t="shared" si="13"/>
        <v>1</v>
      </c>
      <c r="R139" s="39">
        <f t="shared" si="14"/>
        <v>20</v>
      </c>
    </row>
    <row r="140" spans="1:18" ht="16.5" customHeight="1">
      <c r="A140" s="29">
        <v>3369</v>
      </c>
      <c r="B140" s="30" t="s">
        <v>140</v>
      </c>
      <c r="C140" s="30" t="s">
        <v>3</v>
      </c>
      <c r="D140" s="31">
        <v>45486</v>
      </c>
      <c r="E140" s="35" t="str">
        <f t="shared" si="10"/>
        <v>Julho</v>
      </c>
      <c r="F140" s="25" t="s">
        <v>301</v>
      </c>
      <c r="G140" s="27">
        <v>5</v>
      </c>
      <c r="H140" s="30" t="s">
        <v>298</v>
      </c>
      <c r="I140" s="25" t="s">
        <v>301</v>
      </c>
      <c r="J140" s="27" t="s">
        <v>283</v>
      </c>
      <c r="K140" s="25" t="s">
        <v>301</v>
      </c>
      <c r="L140" s="27">
        <v>0</v>
      </c>
      <c r="M140" s="27">
        <v>1</v>
      </c>
      <c r="N140" s="27">
        <v>4</v>
      </c>
      <c r="O140" s="41" t="str">
        <f t="shared" si="11"/>
        <v/>
      </c>
      <c r="P140" s="39" t="str">
        <f t="shared" si="12"/>
        <v/>
      </c>
      <c r="Q140" s="41" t="str">
        <f t="shared" si="13"/>
        <v/>
      </c>
      <c r="R140" s="39" t="str">
        <f t="shared" si="14"/>
        <v/>
      </c>
    </row>
    <row r="141" spans="1:18" ht="16.5" customHeight="1">
      <c r="A141" s="24">
        <v>3370</v>
      </c>
      <c r="B141" s="25" t="s">
        <v>141</v>
      </c>
      <c r="C141" s="25" t="s">
        <v>1</v>
      </c>
      <c r="D141" s="26">
        <v>45487</v>
      </c>
      <c r="E141" s="34" t="str">
        <f t="shared" si="10"/>
        <v>Julho</v>
      </c>
      <c r="F141" s="25" t="s">
        <v>300</v>
      </c>
      <c r="G141" s="28">
        <v>15</v>
      </c>
      <c r="H141" s="25" t="s">
        <v>297</v>
      </c>
      <c r="I141" s="25" t="s">
        <v>300</v>
      </c>
      <c r="J141" s="28">
        <v>30</v>
      </c>
      <c r="K141" s="25" t="s">
        <v>300</v>
      </c>
      <c r="L141" s="28">
        <v>20</v>
      </c>
      <c r="M141" s="28">
        <v>15</v>
      </c>
      <c r="N141" s="28">
        <v>50</v>
      </c>
      <c r="O141" s="41">
        <f t="shared" si="11"/>
        <v>1</v>
      </c>
      <c r="P141" s="39">
        <f t="shared" si="12"/>
        <v>30</v>
      </c>
      <c r="Q141" s="41">
        <f t="shared" si="13"/>
        <v>1</v>
      </c>
      <c r="R141" s="39">
        <f t="shared" si="14"/>
        <v>20</v>
      </c>
    </row>
    <row r="142" spans="1:18" ht="16.5" customHeight="1">
      <c r="A142" s="29">
        <v>3371</v>
      </c>
      <c r="B142" s="30" t="s">
        <v>142</v>
      </c>
      <c r="C142" s="30" t="s">
        <v>5</v>
      </c>
      <c r="D142" s="31">
        <v>45488</v>
      </c>
      <c r="E142" s="35" t="str">
        <f t="shared" si="10"/>
        <v>Julho</v>
      </c>
      <c r="F142" s="25" t="s">
        <v>301</v>
      </c>
      <c r="G142" s="27">
        <v>10</v>
      </c>
      <c r="H142" s="30" t="s">
        <v>297</v>
      </c>
      <c r="I142" s="25" t="s">
        <v>301</v>
      </c>
      <c r="J142" s="27" t="s">
        <v>283</v>
      </c>
      <c r="K142" s="25" t="s">
        <v>300</v>
      </c>
      <c r="L142" s="27">
        <v>20</v>
      </c>
      <c r="M142" s="27">
        <v>5</v>
      </c>
      <c r="N142" s="27">
        <v>25</v>
      </c>
      <c r="O142" s="41" t="str">
        <f t="shared" si="11"/>
        <v/>
      </c>
      <c r="P142" s="39" t="str">
        <f t="shared" si="12"/>
        <v/>
      </c>
      <c r="Q142" s="41">
        <f t="shared" si="13"/>
        <v>1</v>
      </c>
      <c r="R142" s="39">
        <f t="shared" si="14"/>
        <v>20</v>
      </c>
    </row>
    <row r="143" spans="1:18" ht="16.5" customHeight="1">
      <c r="A143" s="29">
        <v>3372</v>
      </c>
      <c r="B143" s="30" t="s">
        <v>143</v>
      </c>
      <c r="C143" s="30" t="s">
        <v>3</v>
      </c>
      <c r="D143" s="31">
        <v>45489</v>
      </c>
      <c r="E143" s="35" t="str">
        <f t="shared" si="10"/>
        <v>Julho</v>
      </c>
      <c r="F143" s="25" t="s">
        <v>300</v>
      </c>
      <c r="G143" s="27">
        <v>5</v>
      </c>
      <c r="H143" s="30" t="s">
        <v>299</v>
      </c>
      <c r="I143" s="25" t="s">
        <v>301</v>
      </c>
      <c r="J143" s="27" t="s">
        <v>283</v>
      </c>
      <c r="K143" s="25" t="s">
        <v>301</v>
      </c>
      <c r="L143" s="27">
        <v>0</v>
      </c>
      <c r="M143" s="27">
        <v>0</v>
      </c>
      <c r="N143" s="27">
        <v>5</v>
      </c>
      <c r="O143" s="41" t="str">
        <f t="shared" si="11"/>
        <v/>
      </c>
      <c r="P143" s="39" t="str">
        <f t="shared" si="12"/>
        <v/>
      </c>
      <c r="Q143" s="41" t="str">
        <f t="shared" si="13"/>
        <v/>
      </c>
      <c r="R143" s="39" t="str">
        <f t="shared" si="14"/>
        <v/>
      </c>
    </row>
    <row r="144" spans="1:18" ht="16.5" customHeight="1">
      <c r="A144" s="24">
        <v>3373</v>
      </c>
      <c r="B144" s="25" t="s">
        <v>144</v>
      </c>
      <c r="C144" s="25" t="s">
        <v>1</v>
      </c>
      <c r="D144" s="26">
        <v>45490</v>
      </c>
      <c r="E144" s="34" t="str">
        <f t="shared" si="10"/>
        <v>Julho</v>
      </c>
      <c r="F144" s="25" t="s">
        <v>301</v>
      </c>
      <c r="G144" s="28">
        <v>15</v>
      </c>
      <c r="H144" s="25" t="s">
        <v>298</v>
      </c>
      <c r="I144" s="25" t="s">
        <v>300</v>
      </c>
      <c r="J144" s="28">
        <v>30</v>
      </c>
      <c r="K144" s="25" t="s">
        <v>300</v>
      </c>
      <c r="L144" s="28">
        <v>20</v>
      </c>
      <c r="M144" s="28">
        <v>20</v>
      </c>
      <c r="N144" s="28">
        <v>45</v>
      </c>
      <c r="O144" s="41">
        <f t="shared" si="11"/>
        <v>1</v>
      </c>
      <c r="P144" s="39">
        <f t="shared" si="12"/>
        <v>30</v>
      </c>
      <c r="Q144" s="41">
        <f t="shared" si="13"/>
        <v>1</v>
      </c>
      <c r="R144" s="39">
        <f t="shared" si="14"/>
        <v>20</v>
      </c>
    </row>
    <row r="145" spans="1:18" ht="16.5" customHeight="1">
      <c r="A145" s="29">
        <v>3374</v>
      </c>
      <c r="B145" s="30" t="s">
        <v>145</v>
      </c>
      <c r="C145" s="30" t="s">
        <v>5</v>
      </c>
      <c r="D145" s="31">
        <v>45491</v>
      </c>
      <c r="E145" s="35" t="str">
        <f t="shared" si="10"/>
        <v>Julho</v>
      </c>
      <c r="F145" s="25" t="s">
        <v>300</v>
      </c>
      <c r="G145" s="27">
        <v>10</v>
      </c>
      <c r="H145" s="30" t="s">
        <v>298</v>
      </c>
      <c r="I145" s="25" t="s">
        <v>301</v>
      </c>
      <c r="J145" s="27" t="s">
        <v>283</v>
      </c>
      <c r="K145" s="25" t="s">
        <v>300</v>
      </c>
      <c r="L145" s="27">
        <v>20</v>
      </c>
      <c r="M145" s="27">
        <v>12</v>
      </c>
      <c r="N145" s="27">
        <v>18</v>
      </c>
      <c r="O145" s="41" t="str">
        <f t="shared" si="11"/>
        <v/>
      </c>
      <c r="P145" s="39" t="str">
        <f t="shared" si="12"/>
        <v/>
      </c>
      <c r="Q145" s="41">
        <f t="shared" si="13"/>
        <v>1</v>
      </c>
      <c r="R145" s="39">
        <f t="shared" si="14"/>
        <v>20</v>
      </c>
    </row>
    <row r="146" spans="1:18" ht="16.5" customHeight="1">
      <c r="A146" s="29">
        <v>3375</v>
      </c>
      <c r="B146" s="30" t="s">
        <v>146</v>
      </c>
      <c r="C146" s="30" t="s">
        <v>3</v>
      </c>
      <c r="D146" s="31">
        <v>45492</v>
      </c>
      <c r="E146" s="35" t="str">
        <f t="shared" si="10"/>
        <v>Julho</v>
      </c>
      <c r="F146" s="25" t="s">
        <v>301</v>
      </c>
      <c r="G146" s="27">
        <v>5</v>
      </c>
      <c r="H146" s="30" t="s">
        <v>297</v>
      </c>
      <c r="I146" s="25" t="s">
        <v>301</v>
      </c>
      <c r="J146" s="27" t="s">
        <v>283</v>
      </c>
      <c r="K146" s="25" t="s">
        <v>301</v>
      </c>
      <c r="L146" s="27">
        <v>0</v>
      </c>
      <c r="M146" s="27">
        <v>2</v>
      </c>
      <c r="N146" s="27">
        <v>3</v>
      </c>
      <c r="O146" s="41" t="str">
        <f t="shared" si="11"/>
        <v/>
      </c>
      <c r="P146" s="39" t="str">
        <f t="shared" si="12"/>
        <v/>
      </c>
      <c r="Q146" s="41" t="str">
        <f t="shared" si="13"/>
        <v/>
      </c>
      <c r="R146" s="39" t="str">
        <f t="shared" si="14"/>
        <v/>
      </c>
    </row>
    <row r="147" spans="1:18" ht="16.5" customHeight="1">
      <c r="A147" s="24">
        <v>3376</v>
      </c>
      <c r="B147" s="25" t="s">
        <v>147</v>
      </c>
      <c r="C147" s="25" t="s">
        <v>1</v>
      </c>
      <c r="D147" s="26">
        <v>45493</v>
      </c>
      <c r="E147" s="34" t="str">
        <f t="shared" si="10"/>
        <v>Julho</v>
      </c>
      <c r="F147" s="25" t="s">
        <v>300</v>
      </c>
      <c r="G147" s="28">
        <v>15</v>
      </c>
      <c r="H147" s="25" t="s">
        <v>299</v>
      </c>
      <c r="I147" s="25" t="s">
        <v>300</v>
      </c>
      <c r="J147" s="28">
        <v>30</v>
      </c>
      <c r="K147" s="25" t="s">
        <v>300</v>
      </c>
      <c r="L147" s="28">
        <v>20</v>
      </c>
      <c r="M147" s="28">
        <v>5</v>
      </c>
      <c r="N147" s="28">
        <v>60</v>
      </c>
      <c r="O147" s="41">
        <f t="shared" si="11"/>
        <v>1</v>
      </c>
      <c r="P147" s="39">
        <f t="shared" si="12"/>
        <v>30</v>
      </c>
      <c r="Q147" s="41">
        <f t="shared" si="13"/>
        <v>1</v>
      </c>
      <c r="R147" s="39">
        <f t="shared" si="14"/>
        <v>20</v>
      </c>
    </row>
    <row r="148" spans="1:18" ht="16.5" customHeight="1">
      <c r="A148" s="29">
        <v>3377</v>
      </c>
      <c r="B148" s="30" t="s">
        <v>148</v>
      </c>
      <c r="C148" s="30" t="s">
        <v>5</v>
      </c>
      <c r="D148" s="31">
        <v>45494</v>
      </c>
      <c r="E148" s="35" t="str">
        <f t="shared" si="10"/>
        <v>Julho</v>
      </c>
      <c r="F148" s="25" t="s">
        <v>301</v>
      </c>
      <c r="G148" s="27">
        <v>10</v>
      </c>
      <c r="H148" s="30" t="s">
        <v>297</v>
      </c>
      <c r="I148" s="25" t="s">
        <v>301</v>
      </c>
      <c r="J148" s="27" t="s">
        <v>283</v>
      </c>
      <c r="K148" s="25" t="s">
        <v>300</v>
      </c>
      <c r="L148" s="27">
        <v>20</v>
      </c>
      <c r="M148" s="27">
        <v>10</v>
      </c>
      <c r="N148" s="27">
        <v>20</v>
      </c>
      <c r="O148" s="41" t="str">
        <f t="shared" si="11"/>
        <v/>
      </c>
      <c r="P148" s="39" t="str">
        <f t="shared" si="12"/>
        <v/>
      </c>
      <c r="Q148" s="41">
        <f t="shared" si="13"/>
        <v>1</v>
      </c>
      <c r="R148" s="39">
        <f t="shared" si="14"/>
        <v>20</v>
      </c>
    </row>
    <row r="149" spans="1:18" ht="16.5" customHeight="1">
      <c r="A149" s="29">
        <v>3378</v>
      </c>
      <c r="B149" s="30" t="s">
        <v>149</v>
      </c>
      <c r="C149" s="30" t="s">
        <v>3</v>
      </c>
      <c r="D149" s="31">
        <v>45495</v>
      </c>
      <c r="E149" s="35" t="str">
        <f t="shared" si="10"/>
        <v>Julho</v>
      </c>
      <c r="F149" s="25" t="s">
        <v>300</v>
      </c>
      <c r="G149" s="27">
        <v>5</v>
      </c>
      <c r="H149" s="30" t="s">
        <v>298</v>
      </c>
      <c r="I149" s="25" t="s">
        <v>301</v>
      </c>
      <c r="J149" s="27" t="s">
        <v>283</v>
      </c>
      <c r="K149" s="25" t="s">
        <v>301</v>
      </c>
      <c r="L149" s="27">
        <v>0</v>
      </c>
      <c r="M149" s="27">
        <v>0</v>
      </c>
      <c r="N149" s="27">
        <v>5</v>
      </c>
      <c r="O149" s="41" t="str">
        <f t="shared" si="11"/>
        <v/>
      </c>
      <c r="P149" s="39" t="str">
        <f t="shared" si="12"/>
        <v/>
      </c>
      <c r="Q149" s="41" t="str">
        <f t="shared" si="13"/>
        <v/>
      </c>
      <c r="R149" s="39" t="str">
        <f t="shared" si="14"/>
        <v/>
      </c>
    </row>
    <row r="150" spans="1:18" ht="16.5" customHeight="1">
      <c r="A150" s="24">
        <v>3379</v>
      </c>
      <c r="B150" s="25" t="s">
        <v>150</v>
      </c>
      <c r="C150" s="25" t="s">
        <v>1</v>
      </c>
      <c r="D150" s="26">
        <v>45496</v>
      </c>
      <c r="E150" s="34" t="str">
        <f t="shared" si="10"/>
        <v>Julho</v>
      </c>
      <c r="F150" s="25" t="s">
        <v>301</v>
      </c>
      <c r="G150" s="28">
        <v>15</v>
      </c>
      <c r="H150" s="25" t="s">
        <v>297</v>
      </c>
      <c r="I150" s="25" t="s">
        <v>300</v>
      </c>
      <c r="J150" s="28">
        <v>30</v>
      </c>
      <c r="K150" s="25" t="s">
        <v>300</v>
      </c>
      <c r="L150" s="28">
        <v>20</v>
      </c>
      <c r="M150" s="28">
        <v>3</v>
      </c>
      <c r="N150" s="28">
        <v>62</v>
      </c>
      <c r="O150" s="41">
        <f t="shared" si="11"/>
        <v>1</v>
      </c>
      <c r="P150" s="39">
        <f t="shared" si="12"/>
        <v>30</v>
      </c>
      <c r="Q150" s="41">
        <f t="shared" si="13"/>
        <v>1</v>
      </c>
      <c r="R150" s="39">
        <f t="shared" si="14"/>
        <v>20</v>
      </c>
    </row>
    <row r="151" spans="1:18" ht="16.5" customHeight="1">
      <c r="A151" s="29">
        <v>3380</v>
      </c>
      <c r="B151" s="30" t="s">
        <v>151</v>
      </c>
      <c r="C151" s="30" t="s">
        <v>5</v>
      </c>
      <c r="D151" s="31">
        <v>45497</v>
      </c>
      <c r="E151" s="35" t="str">
        <f t="shared" si="10"/>
        <v>Julho</v>
      </c>
      <c r="F151" s="25" t="s">
        <v>300</v>
      </c>
      <c r="G151" s="27">
        <v>10</v>
      </c>
      <c r="H151" s="30" t="s">
        <v>299</v>
      </c>
      <c r="I151" s="25" t="s">
        <v>301</v>
      </c>
      <c r="J151" s="27" t="s">
        <v>283</v>
      </c>
      <c r="K151" s="25" t="s">
        <v>300</v>
      </c>
      <c r="L151" s="27">
        <v>20</v>
      </c>
      <c r="M151" s="27">
        <v>15</v>
      </c>
      <c r="N151" s="27">
        <v>15</v>
      </c>
      <c r="O151" s="41" t="str">
        <f t="shared" si="11"/>
        <v/>
      </c>
      <c r="P151" s="39" t="str">
        <f t="shared" si="12"/>
        <v/>
      </c>
      <c r="Q151" s="41">
        <f t="shared" si="13"/>
        <v>1</v>
      </c>
      <c r="R151" s="39">
        <f t="shared" si="14"/>
        <v>20</v>
      </c>
    </row>
    <row r="152" spans="1:18" ht="16.5" customHeight="1">
      <c r="A152" s="29">
        <v>3381</v>
      </c>
      <c r="B152" s="30" t="s">
        <v>152</v>
      </c>
      <c r="C152" s="30" t="s">
        <v>3</v>
      </c>
      <c r="D152" s="31">
        <v>45498</v>
      </c>
      <c r="E152" s="35" t="str">
        <f t="shared" si="10"/>
        <v>Julho</v>
      </c>
      <c r="F152" s="25" t="s">
        <v>301</v>
      </c>
      <c r="G152" s="27">
        <v>5</v>
      </c>
      <c r="H152" s="30" t="s">
        <v>297</v>
      </c>
      <c r="I152" s="25" t="s">
        <v>301</v>
      </c>
      <c r="J152" s="27" t="s">
        <v>283</v>
      </c>
      <c r="K152" s="25" t="s">
        <v>301</v>
      </c>
      <c r="L152" s="27">
        <v>0</v>
      </c>
      <c r="M152" s="27">
        <v>1</v>
      </c>
      <c r="N152" s="27">
        <v>4</v>
      </c>
      <c r="O152" s="41" t="str">
        <f t="shared" si="11"/>
        <v/>
      </c>
      <c r="P152" s="39" t="str">
        <f t="shared" si="12"/>
        <v/>
      </c>
      <c r="Q152" s="41" t="str">
        <f t="shared" si="13"/>
        <v/>
      </c>
      <c r="R152" s="39" t="str">
        <f t="shared" si="14"/>
        <v/>
      </c>
    </row>
    <row r="153" spans="1:18" ht="16.5" customHeight="1">
      <c r="A153" s="24">
        <v>3382</v>
      </c>
      <c r="B153" s="25" t="s">
        <v>153</v>
      </c>
      <c r="C153" s="25" t="s">
        <v>1</v>
      </c>
      <c r="D153" s="26">
        <v>45499</v>
      </c>
      <c r="E153" s="34" t="str">
        <f t="shared" si="10"/>
        <v>Julho</v>
      </c>
      <c r="F153" s="25" t="s">
        <v>300</v>
      </c>
      <c r="G153" s="28">
        <v>15</v>
      </c>
      <c r="H153" s="25" t="s">
        <v>298</v>
      </c>
      <c r="I153" s="25" t="s">
        <v>300</v>
      </c>
      <c r="J153" s="28">
        <v>30</v>
      </c>
      <c r="K153" s="25" t="s">
        <v>300</v>
      </c>
      <c r="L153" s="28">
        <v>20</v>
      </c>
      <c r="M153" s="28">
        <v>7</v>
      </c>
      <c r="N153" s="28">
        <v>58</v>
      </c>
      <c r="O153" s="41">
        <f t="shared" si="11"/>
        <v>1</v>
      </c>
      <c r="P153" s="39">
        <f t="shared" si="12"/>
        <v>30</v>
      </c>
      <c r="Q153" s="41">
        <f t="shared" si="13"/>
        <v>1</v>
      </c>
      <c r="R153" s="39">
        <f t="shared" si="14"/>
        <v>20</v>
      </c>
    </row>
    <row r="154" spans="1:18" ht="16.5" customHeight="1">
      <c r="A154" s="29">
        <v>3383</v>
      </c>
      <c r="B154" s="30" t="s">
        <v>154</v>
      </c>
      <c r="C154" s="30" t="s">
        <v>5</v>
      </c>
      <c r="D154" s="31">
        <v>45500</v>
      </c>
      <c r="E154" s="35" t="str">
        <f t="shared" si="10"/>
        <v>Julho</v>
      </c>
      <c r="F154" s="25" t="s">
        <v>301</v>
      </c>
      <c r="G154" s="27">
        <v>10</v>
      </c>
      <c r="H154" s="30" t="s">
        <v>297</v>
      </c>
      <c r="I154" s="25" t="s">
        <v>301</v>
      </c>
      <c r="J154" s="27" t="s">
        <v>283</v>
      </c>
      <c r="K154" s="25" t="s">
        <v>300</v>
      </c>
      <c r="L154" s="27">
        <v>20</v>
      </c>
      <c r="M154" s="27">
        <v>10</v>
      </c>
      <c r="N154" s="27">
        <v>20</v>
      </c>
      <c r="O154" s="41" t="str">
        <f t="shared" si="11"/>
        <v/>
      </c>
      <c r="P154" s="39" t="str">
        <f t="shared" si="12"/>
        <v/>
      </c>
      <c r="Q154" s="41">
        <f t="shared" si="13"/>
        <v>1</v>
      </c>
      <c r="R154" s="39">
        <f t="shared" si="14"/>
        <v>20</v>
      </c>
    </row>
    <row r="155" spans="1:18" ht="16.5" customHeight="1">
      <c r="A155" s="29">
        <v>3384</v>
      </c>
      <c r="B155" s="30" t="s">
        <v>155</v>
      </c>
      <c r="C155" s="30" t="s">
        <v>3</v>
      </c>
      <c r="D155" s="31">
        <v>45501</v>
      </c>
      <c r="E155" s="35" t="str">
        <f t="shared" si="10"/>
        <v>Julho</v>
      </c>
      <c r="F155" s="25" t="s">
        <v>300</v>
      </c>
      <c r="G155" s="27">
        <v>5</v>
      </c>
      <c r="H155" s="30" t="s">
        <v>299</v>
      </c>
      <c r="I155" s="25" t="s">
        <v>301</v>
      </c>
      <c r="J155" s="27" t="s">
        <v>283</v>
      </c>
      <c r="K155" s="25" t="s">
        <v>301</v>
      </c>
      <c r="L155" s="27">
        <v>0</v>
      </c>
      <c r="M155" s="27">
        <v>0</v>
      </c>
      <c r="N155" s="27">
        <v>5</v>
      </c>
      <c r="O155" s="41" t="str">
        <f t="shared" si="11"/>
        <v/>
      </c>
      <c r="P155" s="39" t="str">
        <f t="shared" si="12"/>
        <v/>
      </c>
      <c r="Q155" s="41" t="str">
        <f t="shared" si="13"/>
        <v/>
      </c>
      <c r="R155" s="39" t="str">
        <f t="shared" si="14"/>
        <v/>
      </c>
    </row>
    <row r="156" spans="1:18" ht="16.5" customHeight="1">
      <c r="A156" s="24">
        <v>3385</v>
      </c>
      <c r="B156" s="25" t="s">
        <v>156</v>
      </c>
      <c r="C156" s="25" t="s">
        <v>1</v>
      </c>
      <c r="D156" s="26">
        <v>45502</v>
      </c>
      <c r="E156" s="34" t="str">
        <f t="shared" si="10"/>
        <v>Julho</v>
      </c>
      <c r="F156" s="25" t="s">
        <v>301</v>
      </c>
      <c r="G156" s="28">
        <v>15</v>
      </c>
      <c r="H156" s="25" t="s">
        <v>297</v>
      </c>
      <c r="I156" s="25" t="s">
        <v>300</v>
      </c>
      <c r="J156" s="28">
        <v>30</v>
      </c>
      <c r="K156" s="25" t="s">
        <v>300</v>
      </c>
      <c r="L156" s="28">
        <v>20</v>
      </c>
      <c r="M156" s="28">
        <v>20</v>
      </c>
      <c r="N156" s="28">
        <v>45</v>
      </c>
      <c r="O156" s="41">
        <f t="shared" si="11"/>
        <v>1</v>
      </c>
      <c r="P156" s="39">
        <f t="shared" si="12"/>
        <v>30</v>
      </c>
      <c r="Q156" s="41">
        <f t="shared" si="13"/>
        <v>1</v>
      </c>
      <c r="R156" s="39">
        <f t="shared" si="14"/>
        <v>20</v>
      </c>
    </row>
    <row r="157" spans="1:18" ht="16.5" customHeight="1">
      <c r="A157" s="29">
        <v>3386</v>
      </c>
      <c r="B157" s="30" t="s">
        <v>157</v>
      </c>
      <c r="C157" s="30" t="s">
        <v>5</v>
      </c>
      <c r="D157" s="31">
        <v>45503</v>
      </c>
      <c r="E157" s="35" t="str">
        <f t="shared" si="10"/>
        <v>Julho</v>
      </c>
      <c r="F157" s="25" t="s">
        <v>300</v>
      </c>
      <c r="G157" s="27">
        <v>10</v>
      </c>
      <c r="H157" s="30" t="s">
        <v>298</v>
      </c>
      <c r="I157" s="25" t="s">
        <v>301</v>
      </c>
      <c r="J157" s="27" t="s">
        <v>283</v>
      </c>
      <c r="K157" s="25" t="s">
        <v>300</v>
      </c>
      <c r="L157" s="27">
        <v>20</v>
      </c>
      <c r="M157" s="27">
        <v>15</v>
      </c>
      <c r="N157" s="27">
        <v>15</v>
      </c>
      <c r="O157" s="41" t="str">
        <f t="shared" si="11"/>
        <v/>
      </c>
      <c r="P157" s="39" t="str">
        <f t="shared" si="12"/>
        <v/>
      </c>
      <c r="Q157" s="41">
        <f t="shared" si="13"/>
        <v>1</v>
      </c>
      <c r="R157" s="39">
        <f t="shared" si="14"/>
        <v>20</v>
      </c>
    </row>
    <row r="158" spans="1:18" ht="16.5" customHeight="1">
      <c r="A158" s="29">
        <v>3387</v>
      </c>
      <c r="B158" s="30" t="s">
        <v>158</v>
      </c>
      <c r="C158" s="30" t="s">
        <v>3</v>
      </c>
      <c r="D158" s="31">
        <v>45504</v>
      </c>
      <c r="E158" s="35" t="str">
        <f t="shared" si="10"/>
        <v>Julho</v>
      </c>
      <c r="F158" s="25" t="s">
        <v>301</v>
      </c>
      <c r="G158" s="27">
        <v>5</v>
      </c>
      <c r="H158" s="30" t="s">
        <v>297</v>
      </c>
      <c r="I158" s="25" t="s">
        <v>301</v>
      </c>
      <c r="J158" s="27" t="s">
        <v>283</v>
      </c>
      <c r="K158" s="25" t="s">
        <v>301</v>
      </c>
      <c r="L158" s="27">
        <v>0</v>
      </c>
      <c r="M158" s="27">
        <v>1</v>
      </c>
      <c r="N158" s="27">
        <v>4</v>
      </c>
      <c r="O158" s="41" t="str">
        <f t="shared" si="11"/>
        <v/>
      </c>
      <c r="P158" s="39" t="str">
        <f t="shared" si="12"/>
        <v/>
      </c>
      <c r="Q158" s="41" t="str">
        <f t="shared" si="13"/>
        <v/>
      </c>
      <c r="R158" s="39" t="str">
        <f t="shared" si="14"/>
        <v/>
      </c>
    </row>
    <row r="159" spans="1:18" ht="16.5" customHeight="1">
      <c r="A159" s="24">
        <v>3388</v>
      </c>
      <c r="B159" s="25" t="s">
        <v>159</v>
      </c>
      <c r="C159" s="25" t="s">
        <v>1</v>
      </c>
      <c r="D159" s="26">
        <v>45505</v>
      </c>
      <c r="E159" s="34" t="str">
        <f t="shared" si="10"/>
        <v>Agosto</v>
      </c>
      <c r="F159" s="25" t="s">
        <v>300</v>
      </c>
      <c r="G159" s="28">
        <v>15</v>
      </c>
      <c r="H159" s="25" t="s">
        <v>299</v>
      </c>
      <c r="I159" s="25" t="s">
        <v>300</v>
      </c>
      <c r="J159" s="28">
        <v>30</v>
      </c>
      <c r="K159" s="25" t="s">
        <v>300</v>
      </c>
      <c r="L159" s="28">
        <v>20</v>
      </c>
      <c r="M159" s="28">
        <v>3</v>
      </c>
      <c r="N159" s="28">
        <v>62</v>
      </c>
      <c r="O159" s="41">
        <f t="shared" si="11"/>
        <v>1</v>
      </c>
      <c r="P159" s="39">
        <f t="shared" si="12"/>
        <v>30</v>
      </c>
      <c r="Q159" s="41">
        <f t="shared" si="13"/>
        <v>1</v>
      </c>
      <c r="R159" s="39">
        <f t="shared" si="14"/>
        <v>20</v>
      </c>
    </row>
    <row r="160" spans="1:18" ht="16.5" customHeight="1">
      <c r="A160" s="29">
        <v>3389</v>
      </c>
      <c r="B160" s="30" t="s">
        <v>160</v>
      </c>
      <c r="C160" s="30" t="s">
        <v>5</v>
      </c>
      <c r="D160" s="31">
        <v>45506</v>
      </c>
      <c r="E160" s="35" t="str">
        <f t="shared" si="10"/>
        <v>Agosto</v>
      </c>
      <c r="F160" s="25" t="s">
        <v>301</v>
      </c>
      <c r="G160" s="27">
        <v>10</v>
      </c>
      <c r="H160" s="30" t="s">
        <v>297</v>
      </c>
      <c r="I160" s="25" t="s">
        <v>301</v>
      </c>
      <c r="J160" s="27" t="s">
        <v>283</v>
      </c>
      <c r="K160" s="25" t="s">
        <v>300</v>
      </c>
      <c r="L160" s="27">
        <v>20</v>
      </c>
      <c r="M160" s="27">
        <v>10</v>
      </c>
      <c r="N160" s="27">
        <v>20</v>
      </c>
      <c r="O160" s="41" t="str">
        <f t="shared" si="11"/>
        <v/>
      </c>
      <c r="P160" s="39" t="str">
        <f t="shared" si="12"/>
        <v/>
      </c>
      <c r="Q160" s="41">
        <f t="shared" si="13"/>
        <v>1</v>
      </c>
      <c r="R160" s="39">
        <f t="shared" si="14"/>
        <v>20</v>
      </c>
    </row>
    <row r="161" spans="1:18" ht="16.5" customHeight="1">
      <c r="A161" s="29">
        <v>3390</v>
      </c>
      <c r="B161" s="30" t="s">
        <v>161</v>
      </c>
      <c r="C161" s="30" t="s">
        <v>3</v>
      </c>
      <c r="D161" s="31">
        <v>45507</v>
      </c>
      <c r="E161" s="35" t="str">
        <f t="shared" si="10"/>
        <v>Agosto</v>
      </c>
      <c r="F161" s="25" t="s">
        <v>300</v>
      </c>
      <c r="G161" s="27">
        <v>5</v>
      </c>
      <c r="H161" s="30" t="s">
        <v>298</v>
      </c>
      <c r="I161" s="25" t="s">
        <v>301</v>
      </c>
      <c r="J161" s="27" t="s">
        <v>283</v>
      </c>
      <c r="K161" s="25" t="s">
        <v>301</v>
      </c>
      <c r="L161" s="27">
        <v>0</v>
      </c>
      <c r="M161" s="27">
        <v>0</v>
      </c>
      <c r="N161" s="27">
        <v>5</v>
      </c>
      <c r="O161" s="41" t="str">
        <f t="shared" si="11"/>
        <v/>
      </c>
      <c r="P161" s="39" t="str">
        <f t="shared" si="12"/>
        <v/>
      </c>
      <c r="Q161" s="41" t="str">
        <f t="shared" si="13"/>
        <v/>
      </c>
      <c r="R161" s="39" t="str">
        <f t="shared" si="14"/>
        <v/>
      </c>
    </row>
    <row r="162" spans="1:18" ht="16.5" customHeight="1">
      <c r="A162" s="24">
        <v>3391</v>
      </c>
      <c r="B162" s="25" t="s">
        <v>61</v>
      </c>
      <c r="C162" s="25" t="s">
        <v>1</v>
      </c>
      <c r="D162" s="26">
        <v>45508</v>
      </c>
      <c r="E162" s="34" t="str">
        <f t="shared" si="10"/>
        <v>Agosto</v>
      </c>
      <c r="F162" s="25" t="s">
        <v>301</v>
      </c>
      <c r="G162" s="28">
        <v>15</v>
      </c>
      <c r="H162" s="25" t="s">
        <v>297</v>
      </c>
      <c r="I162" s="25" t="s">
        <v>300</v>
      </c>
      <c r="J162" s="28">
        <v>30</v>
      </c>
      <c r="K162" s="25" t="s">
        <v>300</v>
      </c>
      <c r="L162" s="28">
        <v>20</v>
      </c>
      <c r="M162" s="28">
        <v>15</v>
      </c>
      <c r="N162" s="28">
        <v>50</v>
      </c>
      <c r="O162" s="41">
        <f t="shared" si="11"/>
        <v>1</v>
      </c>
      <c r="P162" s="39">
        <f t="shared" si="12"/>
        <v>30</v>
      </c>
      <c r="Q162" s="41">
        <f t="shared" si="13"/>
        <v>1</v>
      </c>
      <c r="R162" s="39">
        <f t="shared" si="14"/>
        <v>20</v>
      </c>
    </row>
    <row r="163" spans="1:18" ht="16.5" customHeight="1">
      <c r="A163" s="29">
        <v>3392</v>
      </c>
      <c r="B163" s="30" t="s">
        <v>162</v>
      </c>
      <c r="C163" s="30" t="s">
        <v>5</v>
      </c>
      <c r="D163" s="31">
        <v>45509</v>
      </c>
      <c r="E163" s="35" t="str">
        <f t="shared" si="10"/>
        <v>Agosto</v>
      </c>
      <c r="F163" s="25" t="s">
        <v>300</v>
      </c>
      <c r="G163" s="27">
        <v>10</v>
      </c>
      <c r="H163" s="30" t="s">
        <v>299</v>
      </c>
      <c r="I163" s="25" t="s">
        <v>301</v>
      </c>
      <c r="J163" s="27" t="s">
        <v>283</v>
      </c>
      <c r="K163" s="25" t="s">
        <v>300</v>
      </c>
      <c r="L163" s="27">
        <v>20</v>
      </c>
      <c r="M163" s="27">
        <v>15</v>
      </c>
      <c r="N163" s="27">
        <v>15</v>
      </c>
      <c r="O163" s="41" t="str">
        <f t="shared" si="11"/>
        <v/>
      </c>
      <c r="P163" s="39" t="str">
        <f t="shared" si="12"/>
        <v/>
      </c>
      <c r="Q163" s="41">
        <f t="shared" si="13"/>
        <v>1</v>
      </c>
      <c r="R163" s="39">
        <f t="shared" si="14"/>
        <v>20</v>
      </c>
    </row>
    <row r="164" spans="1:18" ht="16.5" customHeight="1">
      <c r="A164" s="29">
        <v>3393</v>
      </c>
      <c r="B164" s="30" t="s">
        <v>163</v>
      </c>
      <c r="C164" s="30" t="s">
        <v>3</v>
      </c>
      <c r="D164" s="31">
        <v>45510</v>
      </c>
      <c r="E164" s="35" t="str">
        <f t="shared" si="10"/>
        <v>Agosto</v>
      </c>
      <c r="F164" s="25" t="s">
        <v>301</v>
      </c>
      <c r="G164" s="27">
        <v>5</v>
      </c>
      <c r="H164" s="30" t="s">
        <v>297</v>
      </c>
      <c r="I164" s="25" t="s">
        <v>301</v>
      </c>
      <c r="J164" s="27" t="s">
        <v>283</v>
      </c>
      <c r="K164" s="25" t="s">
        <v>301</v>
      </c>
      <c r="L164" s="27">
        <v>0</v>
      </c>
      <c r="M164" s="27">
        <v>1</v>
      </c>
      <c r="N164" s="27">
        <v>4</v>
      </c>
      <c r="O164" s="41" t="str">
        <f t="shared" si="11"/>
        <v/>
      </c>
      <c r="P164" s="39" t="str">
        <f t="shared" si="12"/>
        <v/>
      </c>
      <c r="Q164" s="41" t="str">
        <f t="shared" si="13"/>
        <v/>
      </c>
      <c r="R164" s="39" t="str">
        <f t="shared" si="14"/>
        <v/>
      </c>
    </row>
    <row r="165" spans="1:18" ht="16.5" customHeight="1">
      <c r="A165" s="24">
        <v>3394</v>
      </c>
      <c r="B165" s="25" t="s">
        <v>164</v>
      </c>
      <c r="C165" s="25" t="s">
        <v>1</v>
      </c>
      <c r="D165" s="26">
        <v>45511</v>
      </c>
      <c r="E165" s="34" t="str">
        <f t="shared" si="10"/>
        <v>Agosto</v>
      </c>
      <c r="F165" s="25" t="s">
        <v>300</v>
      </c>
      <c r="G165" s="28">
        <v>15</v>
      </c>
      <c r="H165" s="25" t="s">
        <v>298</v>
      </c>
      <c r="I165" s="25" t="s">
        <v>300</v>
      </c>
      <c r="J165" s="28">
        <v>30</v>
      </c>
      <c r="K165" s="25" t="s">
        <v>300</v>
      </c>
      <c r="L165" s="28">
        <v>20</v>
      </c>
      <c r="M165" s="28">
        <v>7</v>
      </c>
      <c r="N165" s="28">
        <v>58</v>
      </c>
      <c r="O165" s="41">
        <f t="shared" si="11"/>
        <v>1</v>
      </c>
      <c r="P165" s="39">
        <f t="shared" si="12"/>
        <v>30</v>
      </c>
      <c r="Q165" s="41">
        <f t="shared" si="13"/>
        <v>1</v>
      </c>
      <c r="R165" s="39">
        <f t="shared" si="14"/>
        <v>20</v>
      </c>
    </row>
    <row r="166" spans="1:18" ht="16.5" customHeight="1">
      <c r="A166" s="29">
        <v>3395</v>
      </c>
      <c r="B166" s="30" t="s">
        <v>165</v>
      </c>
      <c r="C166" s="30" t="s">
        <v>5</v>
      </c>
      <c r="D166" s="31">
        <v>45512</v>
      </c>
      <c r="E166" s="35" t="str">
        <f t="shared" si="10"/>
        <v>Agosto</v>
      </c>
      <c r="F166" s="25" t="s">
        <v>301</v>
      </c>
      <c r="G166" s="27">
        <v>10</v>
      </c>
      <c r="H166" s="30" t="s">
        <v>297</v>
      </c>
      <c r="I166" s="25" t="s">
        <v>301</v>
      </c>
      <c r="J166" s="27" t="s">
        <v>283</v>
      </c>
      <c r="K166" s="25" t="s">
        <v>300</v>
      </c>
      <c r="L166" s="27">
        <v>20</v>
      </c>
      <c r="M166" s="27">
        <v>10</v>
      </c>
      <c r="N166" s="27">
        <v>20</v>
      </c>
      <c r="O166" s="41" t="str">
        <f t="shared" si="11"/>
        <v/>
      </c>
      <c r="P166" s="39" t="str">
        <f t="shared" si="12"/>
        <v/>
      </c>
      <c r="Q166" s="41">
        <f t="shared" si="13"/>
        <v>1</v>
      </c>
      <c r="R166" s="39">
        <f t="shared" si="14"/>
        <v>20</v>
      </c>
    </row>
    <row r="167" spans="1:18" ht="16.5" customHeight="1">
      <c r="A167" s="29">
        <v>3396</v>
      </c>
      <c r="B167" s="30" t="s">
        <v>166</v>
      </c>
      <c r="C167" s="30" t="s">
        <v>3</v>
      </c>
      <c r="D167" s="31">
        <v>45513</v>
      </c>
      <c r="E167" s="35" t="str">
        <f t="shared" si="10"/>
        <v>Agosto</v>
      </c>
      <c r="F167" s="25" t="s">
        <v>300</v>
      </c>
      <c r="G167" s="27">
        <v>5</v>
      </c>
      <c r="H167" s="30" t="s">
        <v>299</v>
      </c>
      <c r="I167" s="25" t="s">
        <v>301</v>
      </c>
      <c r="J167" s="27" t="s">
        <v>283</v>
      </c>
      <c r="K167" s="25" t="s">
        <v>301</v>
      </c>
      <c r="L167" s="27">
        <v>0</v>
      </c>
      <c r="M167" s="27">
        <v>0</v>
      </c>
      <c r="N167" s="27">
        <v>5</v>
      </c>
      <c r="O167" s="41" t="str">
        <f t="shared" si="11"/>
        <v/>
      </c>
      <c r="P167" s="39" t="str">
        <f t="shared" si="12"/>
        <v/>
      </c>
      <c r="Q167" s="41" t="str">
        <f t="shared" si="13"/>
        <v/>
      </c>
      <c r="R167" s="39" t="str">
        <f t="shared" si="14"/>
        <v/>
      </c>
    </row>
    <row r="168" spans="1:18" ht="16.5" customHeight="1">
      <c r="A168" s="24">
        <v>3397</v>
      </c>
      <c r="B168" s="25" t="s">
        <v>93</v>
      </c>
      <c r="C168" s="25" t="s">
        <v>1</v>
      </c>
      <c r="D168" s="26">
        <v>45514</v>
      </c>
      <c r="E168" s="34" t="str">
        <f t="shared" si="10"/>
        <v>Agosto</v>
      </c>
      <c r="F168" s="25" t="s">
        <v>301</v>
      </c>
      <c r="G168" s="28">
        <v>15</v>
      </c>
      <c r="H168" s="25" t="s">
        <v>297</v>
      </c>
      <c r="I168" s="25" t="s">
        <v>300</v>
      </c>
      <c r="J168" s="28">
        <v>30</v>
      </c>
      <c r="K168" s="25" t="s">
        <v>300</v>
      </c>
      <c r="L168" s="28">
        <v>20</v>
      </c>
      <c r="M168" s="28">
        <v>20</v>
      </c>
      <c r="N168" s="28">
        <v>45</v>
      </c>
      <c r="O168" s="41">
        <f t="shared" si="11"/>
        <v>1</v>
      </c>
      <c r="P168" s="39">
        <f t="shared" si="12"/>
        <v>30</v>
      </c>
      <c r="Q168" s="41">
        <f t="shared" si="13"/>
        <v>1</v>
      </c>
      <c r="R168" s="39">
        <f t="shared" si="14"/>
        <v>20</v>
      </c>
    </row>
    <row r="169" spans="1:18" ht="16.5" customHeight="1">
      <c r="A169" s="29">
        <v>3398</v>
      </c>
      <c r="B169" s="30" t="s">
        <v>167</v>
      </c>
      <c r="C169" s="30" t="s">
        <v>5</v>
      </c>
      <c r="D169" s="31">
        <v>45515</v>
      </c>
      <c r="E169" s="35" t="str">
        <f t="shared" si="10"/>
        <v>Agosto</v>
      </c>
      <c r="F169" s="25" t="s">
        <v>300</v>
      </c>
      <c r="G169" s="27">
        <v>10</v>
      </c>
      <c r="H169" s="30" t="s">
        <v>298</v>
      </c>
      <c r="I169" s="25" t="s">
        <v>301</v>
      </c>
      <c r="J169" s="27" t="s">
        <v>283</v>
      </c>
      <c r="K169" s="25" t="s">
        <v>300</v>
      </c>
      <c r="L169" s="27">
        <v>20</v>
      </c>
      <c r="M169" s="27">
        <v>15</v>
      </c>
      <c r="N169" s="27">
        <v>15</v>
      </c>
      <c r="O169" s="41" t="str">
        <f t="shared" si="11"/>
        <v/>
      </c>
      <c r="P169" s="39" t="str">
        <f t="shared" si="12"/>
        <v/>
      </c>
      <c r="Q169" s="41">
        <f t="shared" si="13"/>
        <v>1</v>
      </c>
      <c r="R169" s="39">
        <f t="shared" si="14"/>
        <v>20</v>
      </c>
    </row>
    <row r="170" spans="1:18" ht="16.5" customHeight="1">
      <c r="A170" s="29">
        <v>3399</v>
      </c>
      <c r="B170" s="30" t="s">
        <v>168</v>
      </c>
      <c r="C170" s="30" t="s">
        <v>3</v>
      </c>
      <c r="D170" s="31">
        <v>45516</v>
      </c>
      <c r="E170" s="35" t="str">
        <f t="shared" si="10"/>
        <v>Agosto</v>
      </c>
      <c r="F170" s="25" t="s">
        <v>301</v>
      </c>
      <c r="G170" s="27">
        <v>5</v>
      </c>
      <c r="H170" s="30" t="s">
        <v>297</v>
      </c>
      <c r="I170" s="25" t="s">
        <v>301</v>
      </c>
      <c r="J170" s="27" t="s">
        <v>283</v>
      </c>
      <c r="K170" s="25" t="s">
        <v>301</v>
      </c>
      <c r="L170" s="27">
        <v>0</v>
      </c>
      <c r="M170" s="27">
        <v>1</v>
      </c>
      <c r="N170" s="27">
        <v>4</v>
      </c>
      <c r="O170" s="41" t="str">
        <f t="shared" si="11"/>
        <v/>
      </c>
      <c r="P170" s="39" t="str">
        <f t="shared" si="12"/>
        <v/>
      </c>
      <c r="Q170" s="41" t="str">
        <f t="shared" si="13"/>
        <v/>
      </c>
      <c r="R170" s="39" t="str">
        <f t="shared" si="14"/>
        <v/>
      </c>
    </row>
    <row r="171" spans="1:18" ht="16.5" customHeight="1">
      <c r="A171" s="24">
        <v>3400</v>
      </c>
      <c r="B171" s="25" t="s">
        <v>169</v>
      </c>
      <c r="C171" s="25" t="s">
        <v>1</v>
      </c>
      <c r="D171" s="26">
        <v>45517</v>
      </c>
      <c r="E171" s="34" t="str">
        <f t="shared" si="10"/>
        <v>Agosto</v>
      </c>
      <c r="F171" s="25" t="s">
        <v>300</v>
      </c>
      <c r="G171" s="28">
        <v>15</v>
      </c>
      <c r="H171" s="25" t="s">
        <v>299</v>
      </c>
      <c r="I171" s="25" t="s">
        <v>300</v>
      </c>
      <c r="J171" s="28">
        <v>30</v>
      </c>
      <c r="K171" s="25" t="s">
        <v>300</v>
      </c>
      <c r="L171" s="28">
        <v>20</v>
      </c>
      <c r="M171" s="28">
        <v>5</v>
      </c>
      <c r="N171" s="28">
        <v>60</v>
      </c>
      <c r="O171" s="41">
        <f t="shared" si="11"/>
        <v>1</v>
      </c>
      <c r="P171" s="39">
        <f t="shared" si="12"/>
        <v>30</v>
      </c>
      <c r="Q171" s="41">
        <f t="shared" si="13"/>
        <v>1</v>
      </c>
      <c r="R171" s="39">
        <f t="shared" si="14"/>
        <v>20</v>
      </c>
    </row>
    <row r="172" spans="1:18" ht="16.5" customHeight="1">
      <c r="A172" s="29">
        <v>3401</v>
      </c>
      <c r="B172" s="30" t="s">
        <v>170</v>
      </c>
      <c r="C172" s="30" t="s">
        <v>5</v>
      </c>
      <c r="D172" s="31">
        <v>45518</v>
      </c>
      <c r="E172" s="35" t="str">
        <f t="shared" si="10"/>
        <v>Agosto</v>
      </c>
      <c r="F172" s="25" t="s">
        <v>301</v>
      </c>
      <c r="G172" s="27">
        <v>10</v>
      </c>
      <c r="H172" s="30" t="s">
        <v>297</v>
      </c>
      <c r="I172" s="25" t="s">
        <v>301</v>
      </c>
      <c r="J172" s="27" t="s">
        <v>283</v>
      </c>
      <c r="K172" s="25" t="s">
        <v>300</v>
      </c>
      <c r="L172" s="27">
        <v>20</v>
      </c>
      <c r="M172" s="27">
        <v>10</v>
      </c>
      <c r="N172" s="27">
        <v>20</v>
      </c>
      <c r="O172" s="41" t="str">
        <f t="shared" si="11"/>
        <v/>
      </c>
      <c r="P172" s="39" t="str">
        <f t="shared" si="12"/>
        <v/>
      </c>
      <c r="Q172" s="41">
        <f t="shared" si="13"/>
        <v>1</v>
      </c>
      <c r="R172" s="39">
        <f t="shared" si="14"/>
        <v>20</v>
      </c>
    </row>
    <row r="173" spans="1:18" ht="16.5" customHeight="1">
      <c r="A173" s="29">
        <v>3402</v>
      </c>
      <c r="B173" s="30" t="s">
        <v>171</v>
      </c>
      <c r="C173" s="30" t="s">
        <v>3</v>
      </c>
      <c r="D173" s="31">
        <v>45519</v>
      </c>
      <c r="E173" s="35" t="str">
        <f t="shared" si="10"/>
        <v>Agosto</v>
      </c>
      <c r="F173" s="25" t="s">
        <v>300</v>
      </c>
      <c r="G173" s="27">
        <v>5</v>
      </c>
      <c r="H173" s="30" t="s">
        <v>298</v>
      </c>
      <c r="I173" s="25" t="s">
        <v>301</v>
      </c>
      <c r="J173" s="27" t="s">
        <v>283</v>
      </c>
      <c r="K173" s="25" t="s">
        <v>301</v>
      </c>
      <c r="L173" s="27">
        <v>0</v>
      </c>
      <c r="M173" s="27">
        <v>0</v>
      </c>
      <c r="N173" s="27">
        <v>5</v>
      </c>
      <c r="O173" s="41" t="str">
        <f t="shared" si="11"/>
        <v/>
      </c>
      <c r="P173" s="39" t="str">
        <f t="shared" si="12"/>
        <v/>
      </c>
      <c r="Q173" s="41" t="str">
        <f t="shared" si="13"/>
        <v/>
      </c>
      <c r="R173" s="39" t="str">
        <f t="shared" si="14"/>
        <v/>
      </c>
    </row>
    <row r="174" spans="1:18" ht="16.5" customHeight="1">
      <c r="A174" s="24">
        <v>3403</v>
      </c>
      <c r="B174" s="25" t="s">
        <v>172</v>
      </c>
      <c r="C174" s="25" t="s">
        <v>1</v>
      </c>
      <c r="D174" s="26">
        <v>45520</v>
      </c>
      <c r="E174" s="34" t="str">
        <f t="shared" si="10"/>
        <v>Agosto</v>
      </c>
      <c r="F174" s="25" t="s">
        <v>301</v>
      </c>
      <c r="G174" s="28">
        <v>15</v>
      </c>
      <c r="H174" s="25" t="s">
        <v>297</v>
      </c>
      <c r="I174" s="25" t="s">
        <v>300</v>
      </c>
      <c r="J174" s="28">
        <v>30</v>
      </c>
      <c r="K174" s="25" t="s">
        <v>300</v>
      </c>
      <c r="L174" s="28">
        <v>20</v>
      </c>
      <c r="M174" s="28">
        <v>3</v>
      </c>
      <c r="N174" s="28">
        <v>62</v>
      </c>
      <c r="O174" s="41">
        <f t="shared" si="11"/>
        <v>1</v>
      </c>
      <c r="P174" s="39">
        <f t="shared" si="12"/>
        <v>30</v>
      </c>
      <c r="Q174" s="41">
        <f t="shared" si="13"/>
        <v>1</v>
      </c>
      <c r="R174" s="39">
        <f t="shared" si="14"/>
        <v>20</v>
      </c>
    </row>
    <row r="175" spans="1:18" ht="16.5" customHeight="1">
      <c r="A175" s="29">
        <v>3404</v>
      </c>
      <c r="B175" s="30" t="s">
        <v>173</v>
      </c>
      <c r="C175" s="30" t="s">
        <v>5</v>
      </c>
      <c r="D175" s="31">
        <v>45521</v>
      </c>
      <c r="E175" s="35" t="str">
        <f t="shared" si="10"/>
        <v>Agosto</v>
      </c>
      <c r="F175" s="25" t="s">
        <v>300</v>
      </c>
      <c r="G175" s="27">
        <v>10</v>
      </c>
      <c r="H175" s="30" t="s">
        <v>299</v>
      </c>
      <c r="I175" s="25" t="s">
        <v>301</v>
      </c>
      <c r="J175" s="27" t="s">
        <v>283</v>
      </c>
      <c r="K175" s="25" t="s">
        <v>300</v>
      </c>
      <c r="L175" s="27">
        <v>20</v>
      </c>
      <c r="M175" s="27">
        <v>15</v>
      </c>
      <c r="N175" s="27">
        <v>15</v>
      </c>
      <c r="O175" s="41" t="str">
        <f t="shared" si="11"/>
        <v/>
      </c>
      <c r="P175" s="39" t="str">
        <f t="shared" si="12"/>
        <v/>
      </c>
      <c r="Q175" s="41">
        <f t="shared" si="13"/>
        <v>1</v>
      </c>
      <c r="R175" s="39">
        <f t="shared" si="14"/>
        <v>20</v>
      </c>
    </row>
    <row r="176" spans="1:18" ht="16.5" customHeight="1">
      <c r="A176" s="29">
        <v>3405</v>
      </c>
      <c r="B176" s="30" t="s">
        <v>174</v>
      </c>
      <c r="C176" s="30" t="s">
        <v>3</v>
      </c>
      <c r="D176" s="31">
        <v>45522</v>
      </c>
      <c r="E176" s="35" t="str">
        <f t="shared" si="10"/>
        <v>Agosto</v>
      </c>
      <c r="F176" s="25" t="s">
        <v>301</v>
      </c>
      <c r="G176" s="27">
        <v>5</v>
      </c>
      <c r="H176" s="30" t="s">
        <v>297</v>
      </c>
      <c r="I176" s="25" t="s">
        <v>301</v>
      </c>
      <c r="J176" s="27" t="s">
        <v>283</v>
      </c>
      <c r="K176" s="25" t="s">
        <v>301</v>
      </c>
      <c r="L176" s="27">
        <v>0</v>
      </c>
      <c r="M176" s="27">
        <v>1</v>
      </c>
      <c r="N176" s="27">
        <v>4</v>
      </c>
      <c r="O176" s="41" t="str">
        <f t="shared" si="11"/>
        <v/>
      </c>
      <c r="P176" s="39" t="str">
        <f t="shared" si="12"/>
        <v/>
      </c>
      <c r="Q176" s="41" t="str">
        <f t="shared" si="13"/>
        <v/>
      </c>
      <c r="R176" s="39" t="str">
        <f t="shared" si="14"/>
        <v/>
      </c>
    </row>
    <row r="177" spans="1:18" ht="16.5" customHeight="1">
      <c r="A177" s="29">
        <v>3406</v>
      </c>
      <c r="B177" s="30" t="s">
        <v>175</v>
      </c>
      <c r="C177" s="30" t="s">
        <v>3</v>
      </c>
      <c r="D177" s="31">
        <v>45523</v>
      </c>
      <c r="E177" s="35" t="str">
        <f t="shared" si="10"/>
        <v>Agosto</v>
      </c>
      <c r="F177" s="25" t="s">
        <v>300</v>
      </c>
      <c r="G177" s="27">
        <v>5</v>
      </c>
      <c r="H177" s="30" t="s">
        <v>297</v>
      </c>
      <c r="I177" s="25" t="s">
        <v>301</v>
      </c>
      <c r="J177" s="27" t="s">
        <v>283</v>
      </c>
      <c r="K177" s="25" t="s">
        <v>301</v>
      </c>
      <c r="L177" s="27">
        <v>0</v>
      </c>
      <c r="M177" s="27">
        <v>0</v>
      </c>
      <c r="N177" s="27">
        <v>5</v>
      </c>
      <c r="O177" s="41" t="str">
        <f t="shared" si="11"/>
        <v/>
      </c>
      <c r="P177" s="39" t="str">
        <f t="shared" si="12"/>
        <v/>
      </c>
      <c r="Q177" s="41" t="str">
        <f t="shared" si="13"/>
        <v/>
      </c>
      <c r="R177" s="39" t="str">
        <f t="shared" si="14"/>
        <v/>
      </c>
    </row>
    <row r="178" spans="1:18" ht="16.5" customHeight="1">
      <c r="A178" s="24">
        <v>3407</v>
      </c>
      <c r="B178" s="25" t="s">
        <v>176</v>
      </c>
      <c r="C178" s="25" t="s">
        <v>1</v>
      </c>
      <c r="D178" s="26">
        <v>45524</v>
      </c>
      <c r="E178" s="34" t="str">
        <f t="shared" si="10"/>
        <v>Agosto</v>
      </c>
      <c r="F178" s="25" t="s">
        <v>301</v>
      </c>
      <c r="G178" s="28">
        <v>15</v>
      </c>
      <c r="H178" s="25" t="s">
        <v>298</v>
      </c>
      <c r="I178" s="25" t="s">
        <v>300</v>
      </c>
      <c r="J178" s="28">
        <v>30</v>
      </c>
      <c r="K178" s="25" t="s">
        <v>300</v>
      </c>
      <c r="L178" s="28">
        <v>20</v>
      </c>
      <c r="M178" s="28">
        <v>7</v>
      </c>
      <c r="N178" s="28">
        <v>58</v>
      </c>
      <c r="O178" s="41">
        <f t="shared" si="11"/>
        <v>1</v>
      </c>
      <c r="P178" s="39">
        <f t="shared" si="12"/>
        <v>30</v>
      </c>
      <c r="Q178" s="41">
        <f t="shared" si="13"/>
        <v>1</v>
      </c>
      <c r="R178" s="39">
        <f t="shared" si="14"/>
        <v>20</v>
      </c>
    </row>
    <row r="179" spans="1:18" ht="16.5" customHeight="1">
      <c r="A179" s="29">
        <v>3408</v>
      </c>
      <c r="B179" s="30" t="s">
        <v>177</v>
      </c>
      <c r="C179" s="30" t="s">
        <v>5</v>
      </c>
      <c r="D179" s="31">
        <v>45525</v>
      </c>
      <c r="E179" s="35" t="str">
        <f t="shared" si="10"/>
        <v>Agosto</v>
      </c>
      <c r="F179" s="25" t="s">
        <v>300</v>
      </c>
      <c r="G179" s="27">
        <v>10</v>
      </c>
      <c r="H179" s="30" t="s">
        <v>299</v>
      </c>
      <c r="I179" s="25" t="s">
        <v>301</v>
      </c>
      <c r="J179" s="27" t="s">
        <v>283</v>
      </c>
      <c r="K179" s="25" t="s">
        <v>300</v>
      </c>
      <c r="L179" s="27">
        <v>20</v>
      </c>
      <c r="M179" s="27">
        <v>10</v>
      </c>
      <c r="N179" s="27">
        <v>20</v>
      </c>
      <c r="O179" s="41" t="str">
        <f t="shared" si="11"/>
        <v/>
      </c>
      <c r="P179" s="39" t="str">
        <f t="shared" si="12"/>
        <v/>
      </c>
      <c r="Q179" s="41">
        <f t="shared" si="13"/>
        <v>1</v>
      </c>
      <c r="R179" s="39">
        <f t="shared" si="14"/>
        <v>20</v>
      </c>
    </row>
    <row r="180" spans="1:18" ht="16.5" customHeight="1">
      <c r="A180" s="29">
        <v>3409</v>
      </c>
      <c r="B180" s="30" t="s">
        <v>178</v>
      </c>
      <c r="C180" s="30" t="s">
        <v>3</v>
      </c>
      <c r="D180" s="31">
        <v>45526</v>
      </c>
      <c r="E180" s="35" t="str">
        <f t="shared" si="10"/>
        <v>Agosto</v>
      </c>
      <c r="F180" s="25" t="s">
        <v>301</v>
      </c>
      <c r="G180" s="27">
        <v>5</v>
      </c>
      <c r="H180" s="30" t="s">
        <v>298</v>
      </c>
      <c r="I180" s="25" t="s">
        <v>301</v>
      </c>
      <c r="J180" s="27" t="s">
        <v>283</v>
      </c>
      <c r="K180" s="25" t="s">
        <v>301</v>
      </c>
      <c r="L180" s="27">
        <v>0</v>
      </c>
      <c r="M180" s="27">
        <v>1</v>
      </c>
      <c r="N180" s="27">
        <v>4</v>
      </c>
      <c r="O180" s="41" t="str">
        <f t="shared" si="11"/>
        <v/>
      </c>
      <c r="P180" s="39" t="str">
        <f t="shared" si="12"/>
        <v/>
      </c>
      <c r="Q180" s="41" t="str">
        <f t="shared" si="13"/>
        <v/>
      </c>
      <c r="R180" s="39" t="str">
        <f t="shared" si="14"/>
        <v/>
      </c>
    </row>
    <row r="181" spans="1:18" ht="16.5" customHeight="1">
      <c r="A181" s="24">
        <v>3410</v>
      </c>
      <c r="B181" s="25" t="s">
        <v>179</v>
      </c>
      <c r="C181" s="25" t="s">
        <v>1</v>
      </c>
      <c r="D181" s="26">
        <v>45527</v>
      </c>
      <c r="E181" s="34" t="str">
        <f t="shared" si="10"/>
        <v>Agosto</v>
      </c>
      <c r="F181" s="25" t="s">
        <v>300</v>
      </c>
      <c r="G181" s="28">
        <v>15</v>
      </c>
      <c r="H181" s="25" t="s">
        <v>297</v>
      </c>
      <c r="I181" s="25" t="s">
        <v>300</v>
      </c>
      <c r="J181" s="28">
        <v>30</v>
      </c>
      <c r="K181" s="25" t="s">
        <v>300</v>
      </c>
      <c r="L181" s="28">
        <v>20</v>
      </c>
      <c r="M181" s="28">
        <v>15</v>
      </c>
      <c r="N181" s="28">
        <v>50</v>
      </c>
      <c r="O181" s="41">
        <f t="shared" si="11"/>
        <v>1</v>
      </c>
      <c r="P181" s="39">
        <f t="shared" si="12"/>
        <v>30</v>
      </c>
      <c r="Q181" s="41">
        <f t="shared" si="13"/>
        <v>1</v>
      </c>
      <c r="R181" s="39">
        <f t="shared" si="14"/>
        <v>20</v>
      </c>
    </row>
    <row r="182" spans="1:18" ht="16.5" customHeight="1">
      <c r="A182" s="29">
        <v>3411</v>
      </c>
      <c r="B182" s="30" t="s">
        <v>180</v>
      </c>
      <c r="C182" s="30" t="s">
        <v>5</v>
      </c>
      <c r="D182" s="31">
        <v>45528</v>
      </c>
      <c r="E182" s="35" t="str">
        <f t="shared" si="10"/>
        <v>Agosto</v>
      </c>
      <c r="F182" s="25" t="s">
        <v>301</v>
      </c>
      <c r="G182" s="27">
        <v>10</v>
      </c>
      <c r="H182" s="30" t="s">
        <v>297</v>
      </c>
      <c r="I182" s="25" t="s">
        <v>301</v>
      </c>
      <c r="J182" s="27" t="s">
        <v>283</v>
      </c>
      <c r="K182" s="25" t="s">
        <v>300</v>
      </c>
      <c r="L182" s="27">
        <v>20</v>
      </c>
      <c r="M182" s="27">
        <v>5</v>
      </c>
      <c r="N182" s="27">
        <v>25</v>
      </c>
      <c r="O182" s="41" t="str">
        <f t="shared" si="11"/>
        <v/>
      </c>
      <c r="P182" s="39" t="str">
        <f t="shared" si="12"/>
        <v/>
      </c>
      <c r="Q182" s="41">
        <f t="shared" si="13"/>
        <v>1</v>
      </c>
      <c r="R182" s="39">
        <f t="shared" si="14"/>
        <v>20</v>
      </c>
    </row>
    <row r="183" spans="1:18" ht="16.5" customHeight="1">
      <c r="A183" s="29">
        <v>3412</v>
      </c>
      <c r="B183" s="30" t="s">
        <v>181</v>
      </c>
      <c r="C183" s="30" t="s">
        <v>3</v>
      </c>
      <c r="D183" s="31">
        <v>45529</v>
      </c>
      <c r="E183" s="35" t="str">
        <f t="shared" si="10"/>
        <v>Agosto</v>
      </c>
      <c r="F183" s="25" t="s">
        <v>300</v>
      </c>
      <c r="G183" s="27">
        <v>5</v>
      </c>
      <c r="H183" s="30" t="s">
        <v>299</v>
      </c>
      <c r="I183" s="25" t="s">
        <v>301</v>
      </c>
      <c r="J183" s="27" t="s">
        <v>283</v>
      </c>
      <c r="K183" s="25" t="s">
        <v>301</v>
      </c>
      <c r="L183" s="27">
        <v>0</v>
      </c>
      <c r="M183" s="27">
        <v>0</v>
      </c>
      <c r="N183" s="27">
        <v>5</v>
      </c>
      <c r="O183" s="41" t="str">
        <f t="shared" si="11"/>
        <v/>
      </c>
      <c r="P183" s="39" t="str">
        <f t="shared" si="12"/>
        <v/>
      </c>
      <c r="Q183" s="41" t="str">
        <f t="shared" si="13"/>
        <v/>
      </c>
      <c r="R183" s="39" t="str">
        <f t="shared" si="14"/>
        <v/>
      </c>
    </row>
    <row r="184" spans="1:18" ht="16.5" customHeight="1">
      <c r="A184" s="24">
        <v>3413</v>
      </c>
      <c r="B184" s="25" t="s">
        <v>182</v>
      </c>
      <c r="C184" s="25" t="s">
        <v>1</v>
      </c>
      <c r="D184" s="26">
        <v>45530</v>
      </c>
      <c r="E184" s="34" t="str">
        <f t="shared" si="10"/>
        <v>Agosto</v>
      </c>
      <c r="F184" s="25" t="s">
        <v>301</v>
      </c>
      <c r="G184" s="28">
        <v>15</v>
      </c>
      <c r="H184" s="25" t="s">
        <v>298</v>
      </c>
      <c r="I184" s="25" t="s">
        <v>300</v>
      </c>
      <c r="J184" s="28">
        <v>30</v>
      </c>
      <c r="K184" s="25" t="s">
        <v>300</v>
      </c>
      <c r="L184" s="28">
        <v>20</v>
      </c>
      <c r="M184" s="28">
        <v>20</v>
      </c>
      <c r="N184" s="28">
        <v>45</v>
      </c>
      <c r="O184" s="41">
        <f t="shared" si="11"/>
        <v>1</v>
      </c>
      <c r="P184" s="39">
        <f t="shared" si="12"/>
        <v>30</v>
      </c>
      <c r="Q184" s="41">
        <f t="shared" si="13"/>
        <v>1</v>
      </c>
      <c r="R184" s="39">
        <f t="shared" si="14"/>
        <v>20</v>
      </c>
    </row>
    <row r="185" spans="1:18" ht="16.5" customHeight="1">
      <c r="A185" s="29">
        <v>3414</v>
      </c>
      <c r="B185" s="30" t="s">
        <v>183</v>
      </c>
      <c r="C185" s="30" t="s">
        <v>5</v>
      </c>
      <c r="D185" s="31">
        <v>45531</v>
      </c>
      <c r="E185" s="35" t="str">
        <f t="shared" si="10"/>
        <v>Agosto</v>
      </c>
      <c r="F185" s="25" t="s">
        <v>300</v>
      </c>
      <c r="G185" s="27">
        <v>10</v>
      </c>
      <c r="H185" s="30" t="s">
        <v>298</v>
      </c>
      <c r="I185" s="25" t="s">
        <v>301</v>
      </c>
      <c r="J185" s="27" t="s">
        <v>283</v>
      </c>
      <c r="K185" s="25" t="s">
        <v>300</v>
      </c>
      <c r="L185" s="27">
        <v>20</v>
      </c>
      <c r="M185" s="27">
        <v>12</v>
      </c>
      <c r="N185" s="27">
        <v>18</v>
      </c>
      <c r="O185" s="41" t="str">
        <f t="shared" si="11"/>
        <v/>
      </c>
      <c r="P185" s="39" t="str">
        <f t="shared" si="12"/>
        <v/>
      </c>
      <c r="Q185" s="41">
        <f t="shared" si="13"/>
        <v>1</v>
      </c>
      <c r="R185" s="39">
        <f t="shared" si="14"/>
        <v>20</v>
      </c>
    </row>
    <row r="186" spans="1:18" ht="16.5" customHeight="1">
      <c r="A186" s="29">
        <v>3415</v>
      </c>
      <c r="B186" s="30" t="s">
        <v>184</v>
      </c>
      <c r="C186" s="30" t="s">
        <v>3</v>
      </c>
      <c r="D186" s="31">
        <v>45532</v>
      </c>
      <c r="E186" s="35" t="str">
        <f t="shared" si="10"/>
        <v>Agosto</v>
      </c>
      <c r="F186" s="25" t="s">
        <v>301</v>
      </c>
      <c r="G186" s="27">
        <v>5</v>
      </c>
      <c r="H186" s="30" t="s">
        <v>297</v>
      </c>
      <c r="I186" s="25" t="s">
        <v>301</v>
      </c>
      <c r="J186" s="27" t="s">
        <v>283</v>
      </c>
      <c r="K186" s="25" t="s">
        <v>301</v>
      </c>
      <c r="L186" s="27">
        <v>0</v>
      </c>
      <c r="M186" s="27">
        <v>2</v>
      </c>
      <c r="N186" s="27">
        <v>3</v>
      </c>
      <c r="O186" s="41" t="str">
        <f t="shared" si="11"/>
        <v/>
      </c>
      <c r="P186" s="39" t="str">
        <f t="shared" si="12"/>
        <v/>
      </c>
      <c r="Q186" s="41" t="str">
        <f t="shared" si="13"/>
        <v/>
      </c>
      <c r="R186" s="39" t="str">
        <f t="shared" si="14"/>
        <v/>
      </c>
    </row>
    <row r="187" spans="1:18" ht="16.5" customHeight="1">
      <c r="A187" s="24">
        <v>3416</v>
      </c>
      <c r="B187" s="25" t="s">
        <v>185</v>
      </c>
      <c r="C187" s="25" t="s">
        <v>1</v>
      </c>
      <c r="D187" s="26">
        <v>45533</v>
      </c>
      <c r="E187" s="34" t="str">
        <f t="shared" si="10"/>
        <v>Agosto</v>
      </c>
      <c r="F187" s="25" t="s">
        <v>300</v>
      </c>
      <c r="G187" s="28">
        <v>15</v>
      </c>
      <c r="H187" s="25" t="s">
        <v>299</v>
      </c>
      <c r="I187" s="25" t="s">
        <v>300</v>
      </c>
      <c r="J187" s="28">
        <v>30</v>
      </c>
      <c r="K187" s="25" t="s">
        <v>300</v>
      </c>
      <c r="L187" s="28">
        <v>20</v>
      </c>
      <c r="M187" s="28">
        <v>5</v>
      </c>
      <c r="N187" s="28">
        <v>60</v>
      </c>
      <c r="O187" s="41">
        <f t="shared" si="11"/>
        <v>1</v>
      </c>
      <c r="P187" s="39">
        <f t="shared" si="12"/>
        <v>30</v>
      </c>
      <c r="Q187" s="41">
        <f t="shared" si="13"/>
        <v>1</v>
      </c>
      <c r="R187" s="39">
        <f t="shared" si="14"/>
        <v>20</v>
      </c>
    </row>
    <row r="188" spans="1:18" ht="16.5" customHeight="1">
      <c r="A188" s="29">
        <v>3417</v>
      </c>
      <c r="B188" s="30" t="s">
        <v>186</v>
      </c>
      <c r="C188" s="30" t="s">
        <v>5</v>
      </c>
      <c r="D188" s="31">
        <v>45534</v>
      </c>
      <c r="E188" s="35" t="str">
        <f t="shared" si="10"/>
        <v>Agosto</v>
      </c>
      <c r="F188" s="25" t="s">
        <v>301</v>
      </c>
      <c r="G188" s="27">
        <v>10</v>
      </c>
      <c r="H188" s="30" t="s">
        <v>297</v>
      </c>
      <c r="I188" s="25" t="s">
        <v>301</v>
      </c>
      <c r="J188" s="27" t="s">
        <v>283</v>
      </c>
      <c r="K188" s="25" t="s">
        <v>300</v>
      </c>
      <c r="L188" s="27">
        <v>20</v>
      </c>
      <c r="M188" s="27">
        <v>10</v>
      </c>
      <c r="N188" s="27">
        <v>20</v>
      </c>
      <c r="O188" s="41" t="str">
        <f t="shared" si="11"/>
        <v/>
      </c>
      <c r="P188" s="39" t="str">
        <f t="shared" si="12"/>
        <v/>
      </c>
      <c r="Q188" s="41">
        <f t="shared" si="13"/>
        <v>1</v>
      </c>
      <c r="R188" s="39">
        <f t="shared" si="14"/>
        <v>20</v>
      </c>
    </row>
    <row r="189" spans="1:18" ht="16.5" customHeight="1">
      <c r="A189" s="29">
        <v>3418</v>
      </c>
      <c r="B189" s="30" t="s">
        <v>187</v>
      </c>
      <c r="C189" s="30" t="s">
        <v>3</v>
      </c>
      <c r="D189" s="31">
        <v>45535</v>
      </c>
      <c r="E189" s="35" t="str">
        <f t="shared" si="10"/>
        <v>Agosto</v>
      </c>
      <c r="F189" s="25" t="s">
        <v>300</v>
      </c>
      <c r="G189" s="27">
        <v>5</v>
      </c>
      <c r="H189" s="30" t="s">
        <v>298</v>
      </c>
      <c r="I189" s="25" t="s">
        <v>301</v>
      </c>
      <c r="J189" s="27" t="s">
        <v>283</v>
      </c>
      <c r="K189" s="25" t="s">
        <v>301</v>
      </c>
      <c r="L189" s="27">
        <v>0</v>
      </c>
      <c r="M189" s="27">
        <v>0</v>
      </c>
      <c r="N189" s="27">
        <v>5</v>
      </c>
      <c r="O189" s="41" t="str">
        <f t="shared" si="11"/>
        <v/>
      </c>
      <c r="P189" s="39" t="str">
        <f t="shared" si="12"/>
        <v/>
      </c>
      <c r="Q189" s="41" t="str">
        <f t="shared" si="13"/>
        <v/>
      </c>
      <c r="R189" s="39" t="str">
        <f t="shared" si="14"/>
        <v/>
      </c>
    </row>
    <row r="190" spans="1:18" ht="16.5" customHeight="1">
      <c r="A190" s="24">
        <v>3419</v>
      </c>
      <c r="B190" s="25" t="s">
        <v>188</v>
      </c>
      <c r="C190" s="25" t="s">
        <v>1</v>
      </c>
      <c r="D190" s="26">
        <v>45536</v>
      </c>
      <c r="E190" s="34" t="str">
        <f t="shared" si="10"/>
        <v>Setembro</v>
      </c>
      <c r="F190" s="25" t="s">
        <v>301</v>
      </c>
      <c r="G190" s="28">
        <v>15</v>
      </c>
      <c r="H190" s="25" t="s">
        <v>297</v>
      </c>
      <c r="I190" s="25" t="s">
        <v>300</v>
      </c>
      <c r="J190" s="28">
        <v>30</v>
      </c>
      <c r="K190" s="25" t="s">
        <v>300</v>
      </c>
      <c r="L190" s="28">
        <v>20</v>
      </c>
      <c r="M190" s="28">
        <v>3</v>
      </c>
      <c r="N190" s="28">
        <v>62</v>
      </c>
      <c r="O190" s="41">
        <f t="shared" si="11"/>
        <v>1</v>
      </c>
      <c r="P190" s="39">
        <f t="shared" si="12"/>
        <v>30</v>
      </c>
      <c r="Q190" s="41">
        <f t="shared" si="13"/>
        <v>1</v>
      </c>
      <c r="R190" s="39">
        <f t="shared" si="14"/>
        <v>20</v>
      </c>
    </row>
    <row r="191" spans="1:18" ht="16.5" customHeight="1">
      <c r="A191" s="29">
        <v>3420</v>
      </c>
      <c r="B191" s="30" t="s">
        <v>189</v>
      </c>
      <c r="C191" s="30" t="s">
        <v>5</v>
      </c>
      <c r="D191" s="31">
        <v>45537</v>
      </c>
      <c r="E191" s="35" t="str">
        <f t="shared" si="10"/>
        <v>Setembro</v>
      </c>
      <c r="F191" s="25" t="s">
        <v>300</v>
      </c>
      <c r="G191" s="27">
        <v>10</v>
      </c>
      <c r="H191" s="30" t="s">
        <v>299</v>
      </c>
      <c r="I191" s="25" t="s">
        <v>301</v>
      </c>
      <c r="J191" s="27" t="s">
        <v>283</v>
      </c>
      <c r="K191" s="25" t="s">
        <v>300</v>
      </c>
      <c r="L191" s="27">
        <v>20</v>
      </c>
      <c r="M191" s="27">
        <v>15</v>
      </c>
      <c r="N191" s="27">
        <v>15</v>
      </c>
      <c r="O191" s="41" t="str">
        <f t="shared" si="11"/>
        <v/>
      </c>
      <c r="P191" s="39" t="str">
        <f t="shared" si="12"/>
        <v/>
      </c>
      <c r="Q191" s="41">
        <f t="shared" si="13"/>
        <v>1</v>
      </c>
      <c r="R191" s="39">
        <f t="shared" si="14"/>
        <v>20</v>
      </c>
    </row>
    <row r="192" spans="1:18" ht="16.5" customHeight="1">
      <c r="A192" s="29">
        <v>3421</v>
      </c>
      <c r="B192" s="30" t="s">
        <v>18</v>
      </c>
      <c r="C192" s="30" t="s">
        <v>3</v>
      </c>
      <c r="D192" s="31">
        <v>45538</v>
      </c>
      <c r="E192" s="35" t="str">
        <f t="shared" si="10"/>
        <v>Setembro</v>
      </c>
      <c r="F192" s="25" t="s">
        <v>301</v>
      </c>
      <c r="G192" s="27">
        <v>5</v>
      </c>
      <c r="H192" s="30" t="s">
        <v>297</v>
      </c>
      <c r="I192" s="25" t="s">
        <v>301</v>
      </c>
      <c r="J192" s="27" t="s">
        <v>283</v>
      </c>
      <c r="K192" s="25" t="s">
        <v>301</v>
      </c>
      <c r="L192" s="27">
        <v>0</v>
      </c>
      <c r="M192" s="27">
        <v>1</v>
      </c>
      <c r="N192" s="27">
        <v>4</v>
      </c>
      <c r="O192" s="41" t="str">
        <f t="shared" si="11"/>
        <v/>
      </c>
      <c r="P192" s="39" t="str">
        <f t="shared" si="12"/>
        <v/>
      </c>
      <c r="Q192" s="41" t="str">
        <f t="shared" si="13"/>
        <v/>
      </c>
      <c r="R192" s="39" t="str">
        <f t="shared" si="14"/>
        <v/>
      </c>
    </row>
    <row r="193" spans="1:18" ht="16.5" customHeight="1">
      <c r="A193" s="24">
        <v>3422</v>
      </c>
      <c r="B193" s="25" t="s">
        <v>190</v>
      </c>
      <c r="C193" s="25" t="s">
        <v>1</v>
      </c>
      <c r="D193" s="26">
        <v>45539</v>
      </c>
      <c r="E193" s="34" t="str">
        <f t="shared" si="10"/>
        <v>Setembro</v>
      </c>
      <c r="F193" s="25" t="s">
        <v>300</v>
      </c>
      <c r="G193" s="28">
        <v>15</v>
      </c>
      <c r="H193" s="25" t="s">
        <v>298</v>
      </c>
      <c r="I193" s="25" t="s">
        <v>300</v>
      </c>
      <c r="J193" s="28">
        <v>30</v>
      </c>
      <c r="K193" s="25" t="s">
        <v>300</v>
      </c>
      <c r="L193" s="28">
        <v>20</v>
      </c>
      <c r="M193" s="28">
        <v>7</v>
      </c>
      <c r="N193" s="28">
        <v>58</v>
      </c>
      <c r="O193" s="41">
        <f t="shared" si="11"/>
        <v>1</v>
      </c>
      <c r="P193" s="39">
        <f t="shared" si="12"/>
        <v>30</v>
      </c>
      <c r="Q193" s="41">
        <f t="shared" si="13"/>
        <v>1</v>
      </c>
      <c r="R193" s="39">
        <f t="shared" si="14"/>
        <v>20</v>
      </c>
    </row>
    <row r="194" spans="1:18" ht="16.5" customHeight="1">
      <c r="A194" s="29">
        <v>3423</v>
      </c>
      <c r="B194" s="30" t="s">
        <v>191</v>
      </c>
      <c r="C194" s="30" t="s">
        <v>5</v>
      </c>
      <c r="D194" s="31">
        <v>45540</v>
      </c>
      <c r="E194" s="35" t="str">
        <f t="shared" ref="E194:E257" si="15">PROPER(TEXT($D194,"mmmm"))</f>
        <v>Setembro</v>
      </c>
      <c r="F194" s="25" t="s">
        <v>301</v>
      </c>
      <c r="G194" s="27">
        <v>10</v>
      </c>
      <c r="H194" s="30" t="s">
        <v>297</v>
      </c>
      <c r="I194" s="25" t="s">
        <v>301</v>
      </c>
      <c r="J194" s="27" t="s">
        <v>283</v>
      </c>
      <c r="K194" s="25" t="s">
        <v>300</v>
      </c>
      <c r="L194" s="27">
        <v>20</v>
      </c>
      <c r="M194" s="27">
        <v>10</v>
      </c>
      <c r="N194" s="27">
        <v>20</v>
      </c>
      <c r="O194" s="41" t="str">
        <f t="shared" ref="O194:O257" si="16">IF($I194="Sim",1,"")</f>
        <v/>
      </c>
      <c r="P194" s="39" t="str">
        <f t="shared" ref="P194:P257" si="17">IF($I194="Sim",$J194,"")</f>
        <v/>
      </c>
      <c r="Q194" s="41">
        <f t="shared" ref="Q194:Q257" si="18">IF($K194="Sim",1,"")</f>
        <v>1</v>
      </c>
      <c r="R194" s="39">
        <f t="shared" ref="R194:R257" si="19">IF($K194="Sim",$L194,"")</f>
        <v>20</v>
      </c>
    </row>
    <row r="195" spans="1:18" ht="16.5" customHeight="1">
      <c r="A195" s="29">
        <v>3424</v>
      </c>
      <c r="B195" s="30" t="s">
        <v>17</v>
      </c>
      <c r="C195" s="30" t="s">
        <v>3</v>
      </c>
      <c r="D195" s="31">
        <v>45541</v>
      </c>
      <c r="E195" s="35" t="str">
        <f t="shared" si="15"/>
        <v>Setembro</v>
      </c>
      <c r="F195" s="25" t="s">
        <v>300</v>
      </c>
      <c r="G195" s="27">
        <v>5</v>
      </c>
      <c r="H195" s="30" t="s">
        <v>299</v>
      </c>
      <c r="I195" s="25" t="s">
        <v>301</v>
      </c>
      <c r="J195" s="27" t="s">
        <v>283</v>
      </c>
      <c r="K195" s="25" t="s">
        <v>301</v>
      </c>
      <c r="L195" s="27">
        <v>0</v>
      </c>
      <c r="M195" s="27">
        <v>0</v>
      </c>
      <c r="N195" s="27">
        <v>5</v>
      </c>
      <c r="O195" s="41" t="str">
        <f t="shared" si="16"/>
        <v/>
      </c>
      <c r="P195" s="39" t="str">
        <f t="shared" si="17"/>
        <v/>
      </c>
      <c r="Q195" s="41" t="str">
        <f t="shared" si="18"/>
        <v/>
      </c>
      <c r="R195" s="39" t="str">
        <f t="shared" si="19"/>
        <v/>
      </c>
    </row>
    <row r="196" spans="1:18" ht="16.5" customHeight="1">
      <c r="A196" s="24">
        <v>3425</v>
      </c>
      <c r="B196" s="25" t="s">
        <v>192</v>
      </c>
      <c r="C196" s="25" t="s">
        <v>1</v>
      </c>
      <c r="D196" s="26">
        <v>45542</v>
      </c>
      <c r="E196" s="34" t="str">
        <f t="shared" si="15"/>
        <v>Setembro</v>
      </c>
      <c r="F196" s="25" t="s">
        <v>301</v>
      </c>
      <c r="G196" s="28">
        <v>15</v>
      </c>
      <c r="H196" s="25" t="s">
        <v>297</v>
      </c>
      <c r="I196" s="25" t="s">
        <v>300</v>
      </c>
      <c r="J196" s="28">
        <v>30</v>
      </c>
      <c r="K196" s="25" t="s">
        <v>300</v>
      </c>
      <c r="L196" s="28">
        <v>20</v>
      </c>
      <c r="M196" s="28">
        <v>20</v>
      </c>
      <c r="N196" s="28">
        <v>45</v>
      </c>
      <c r="O196" s="41">
        <f t="shared" si="16"/>
        <v>1</v>
      </c>
      <c r="P196" s="39">
        <f t="shared" si="17"/>
        <v>30</v>
      </c>
      <c r="Q196" s="41">
        <f t="shared" si="18"/>
        <v>1</v>
      </c>
      <c r="R196" s="39">
        <f t="shared" si="19"/>
        <v>20</v>
      </c>
    </row>
    <row r="197" spans="1:18" ht="16.5" customHeight="1">
      <c r="A197" s="29">
        <v>3426</v>
      </c>
      <c r="B197" s="30" t="s">
        <v>170</v>
      </c>
      <c r="C197" s="30" t="s">
        <v>5</v>
      </c>
      <c r="D197" s="31">
        <v>45543</v>
      </c>
      <c r="E197" s="35" t="str">
        <f t="shared" si="15"/>
        <v>Setembro</v>
      </c>
      <c r="F197" s="25" t="s">
        <v>300</v>
      </c>
      <c r="G197" s="27">
        <v>10</v>
      </c>
      <c r="H197" s="30" t="s">
        <v>298</v>
      </c>
      <c r="I197" s="25" t="s">
        <v>301</v>
      </c>
      <c r="J197" s="27" t="s">
        <v>283</v>
      </c>
      <c r="K197" s="25" t="s">
        <v>300</v>
      </c>
      <c r="L197" s="27">
        <v>20</v>
      </c>
      <c r="M197" s="27">
        <v>15</v>
      </c>
      <c r="N197" s="27">
        <v>15</v>
      </c>
      <c r="O197" s="41" t="str">
        <f t="shared" si="16"/>
        <v/>
      </c>
      <c r="P197" s="39" t="str">
        <f t="shared" si="17"/>
        <v/>
      </c>
      <c r="Q197" s="41">
        <f t="shared" si="18"/>
        <v>1</v>
      </c>
      <c r="R197" s="39">
        <f t="shared" si="19"/>
        <v>20</v>
      </c>
    </row>
    <row r="198" spans="1:18" ht="16.5" customHeight="1">
      <c r="A198" s="29">
        <v>3427</v>
      </c>
      <c r="B198" s="30" t="s">
        <v>193</v>
      </c>
      <c r="C198" s="30" t="s">
        <v>3</v>
      </c>
      <c r="D198" s="31">
        <v>45544</v>
      </c>
      <c r="E198" s="35" t="str">
        <f t="shared" si="15"/>
        <v>Setembro</v>
      </c>
      <c r="F198" s="25" t="s">
        <v>301</v>
      </c>
      <c r="G198" s="27">
        <v>5</v>
      </c>
      <c r="H198" s="30" t="s">
        <v>297</v>
      </c>
      <c r="I198" s="25" t="s">
        <v>301</v>
      </c>
      <c r="J198" s="27" t="s">
        <v>283</v>
      </c>
      <c r="K198" s="25" t="s">
        <v>301</v>
      </c>
      <c r="L198" s="27">
        <v>0</v>
      </c>
      <c r="M198" s="27">
        <v>1</v>
      </c>
      <c r="N198" s="27">
        <v>4</v>
      </c>
      <c r="O198" s="41" t="str">
        <f t="shared" si="16"/>
        <v/>
      </c>
      <c r="P198" s="39" t="str">
        <f t="shared" si="17"/>
        <v/>
      </c>
      <c r="Q198" s="41" t="str">
        <f t="shared" si="18"/>
        <v/>
      </c>
      <c r="R198" s="39" t="str">
        <f t="shared" si="19"/>
        <v/>
      </c>
    </row>
    <row r="199" spans="1:18" ht="16.5" customHeight="1">
      <c r="A199" s="24">
        <v>3428</v>
      </c>
      <c r="B199" s="25" t="s">
        <v>194</v>
      </c>
      <c r="C199" s="25" t="s">
        <v>1</v>
      </c>
      <c r="D199" s="26">
        <v>45545</v>
      </c>
      <c r="E199" s="34" t="str">
        <f t="shared" si="15"/>
        <v>Setembro</v>
      </c>
      <c r="F199" s="25" t="s">
        <v>300</v>
      </c>
      <c r="G199" s="28">
        <v>15</v>
      </c>
      <c r="H199" s="25" t="s">
        <v>299</v>
      </c>
      <c r="I199" s="25" t="s">
        <v>300</v>
      </c>
      <c r="J199" s="28">
        <v>30</v>
      </c>
      <c r="K199" s="25" t="s">
        <v>300</v>
      </c>
      <c r="L199" s="28">
        <v>20</v>
      </c>
      <c r="M199" s="28">
        <v>3</v>
      </c>
      <c r="N199" s="28">
        <v>62</v>
      </c>
      <c r="O199" s="41">
        <f t="shared" si="16"/>
        <v>1</v>
      </c>
      <c r="P199" s="39">
        <f t="shared" si="17"/>
        <v>30</v>
      </c>
      <c r="Q199" s="41">
        <f t="shared" si="18"/>
        <v>1</v>
      </c>
      <c r="R199" s="39">
        <f t="shared" si="19"/>
        <v>20</v>
      </c>
    </row>
    <row r="200" spans="1:18" ht="16.5" customHeight="1">
      <c r="A200" s="29">
        <v>3429</v>
      </c>
      <c r="B200" s="30" t="s">
        <v>195</v>
      </c>
      <c r="C200" s="30" t="s">
        <v>5</v>
      </c>
      <c r="D200" s="31">
        <v>45546</v>
      </c>
      <c r="E200" s="35" t="str">
        <f t="shared" si="15"/>
        <v>Setembro</v>
      </c>
      <c r="F200" s="25" t="s">
        <v>301</v>
      </c>
      <c r="G200" s="27">
        <v>10</v>
      </c>
      <c r="H200" s="30" t="s">
        <v>297</v>
      </c>
      <c r="I200" s="25" t="s">
        <v>301</v>
      </c>
      <c r="J200" s="27" t="s">
        <v>283</v>
      </c>
      <c r="K200" s="25" t="s">
        <v>300</v>
      </c>
      <c r="L200" s="27">
        <v>20</v>
      </c>
      <c r="M200" s="27">
        <v>10</v>
      </c>
      <c r="N200" s="27">
        <v>20</v>
      </c>
      <c r="O200" s="41" t="str">
        <f t="shared" si="16"/>
        <v/>
      </c>
      <c r="P200" s="39" t="str">
        <f t="shared" si="17"/>
        <v/>
      </c>
      <c r="Q200" s="41">
        <f t="shared" si="18"/>
        <v>1</v>
      </c>
      <c r="R200" s="39">
        <f t="shared" si="19"/>
        <v>20</v>
      </c>
    </row>
    <row r="201" spans="1:18" ht="16.5" customHeight="1">
      <c r="A201" s="29">
        <v>3430</v>
      </c>
      <c r="B201" s="30" t="s">
        <v>196</v>
      </c>
      <c r="C201" s="30" t="s">
        <v>3</v>
      </c>
      <c r="D201" s="31">
        <v>45547</v>
      </c>
      <c r="E201" s="35" t="str">
        <f t="shared" si="15"/>
        <v>Setembro</v>
      </c>
      <c r="F201" s="25" t="s">
        <v>300</v>
      </c>
      <c r="G201" s="27">
        <v>5</v>
      </c>
      <c r="H201" s="30" t="s">
        <v>298</v>
      </c>
      <c r="I201" s="25" t="s">
        <v>301</v>
      </c>
      <c r="J201" s="27" t="s">
        <v>283</v>
      </c>
      <c r="K201" s="25" t="s">
        <v>301</v>
      </c>
      <c r="L201" s="27">
        <v>0</v>
      </c>
      <c r="M201" s="27">
        <v>0</v>
      </c>
      <c r="N201" s="27">
        <v>5</v>
      </c>
      <c r="O201" s="41" t="str">
        <f t="shared" si="16"/>
        <v/>
      </c>
      <c r="P201" s="39" t="str">
        <f t="shared" si="17"/>
        <v/>
      </c>
      <c r="Q201" s="41" t="str">
        <f t="shared" si="18"/>
        <v/>
      </c>
      <c r="R201" s="39" t="str">
        <f t="shared" si="19"/>
        <v/>
      </c>
    </row>
    <row r="202" spans="1:18" ht="16.5" customHeight="1">
      <c r="A202" s="24">
        <v>3431</v>
      </c>
      <c r="B202" s="25" t="s">
        <v>197</v>
      </c>
      <c r="C202" s="25" t="s">
        <v>1</v>
      </c>
      <c r="D202" s="26">
        <v>45548</v>
      </c>
      <c r="E202" s="34" t="str">
        <f t="shared" si="15"/>
        <v>Setembro</v>
      </c>
      <c r="F202" s="25" t="s">
        <v>301</v>
      </c>
      <c r="G202" s="28">
        <v>15</v>
      </c>
      <c r="H202" s="25" t="s">
        <v>297</v>
      </c>
      <c r="I202" s="25" t="s">
        <v>300</v>
      </c>
      <c r="J202" s="28">
        <v>30</v>
      </c>
      <c r="K202" s="25" t="s">
        <v>300</v>
      </c>
      <c r="L202" s="28">
        <v>20</v>
      </c>
      <c r="M202" s="28">
        <v>15</v>
      </c>
      <c r="N202" s="28">
        <v>50</v>
      </c>
      <c r="O202" s="41">
        <f t="shared" si="16"/>
        <v>1</v>
      </c>
      <c r="P202" s="39">
        <f t="shared" si="17"/>
        <v>30</v>
      </c>
      <c r="Q202" s="41">
        <f t="shared" si="18"/>
        <v>1</v>
      </c>
      <c r="R202" s="39">
        <f t="shared" si="19"/>
        <v>20</v>
      </c>
    </row>
    <row r="203" spans="1:18" ht="16.5" customHeight="1">
      <c r="A203" s="29">
        <v>3432</v>
      </c>
      <c r="B203" s="30" t="s">
        <v>198</v>
      </c>
      <c r="C203" s="30" t="s">
        <v>5</v>
      </c>
      <c r="D203" s="31">
        <v>45549</v>
      </c>
      <c r="E203" s="35" t="str">
        <f t="shared" si="15"/>
        <v>Setembro</v>
      </c>
      <c r="F203" s="25" t="s">
        <v>300</v>
      </c>
      <c r="G203" s="27">
        <v>10</v>
      </c>
      <c r="H203" s="30" t="s">
        <v>299</v>
      </c>
      <c r="I203" s="25" t="s">
        <v>301</v>
      </c>
      <c r="J203" s="27" t="s">
        <v>283</v>
      </c>
      <c r="K203" s="25" t="s">
        <v>300</v>
      </c>
      <c r="L203" s="27">
        <v>20</v>
      </c>
      <c r="M203" s="27">
        <v>15</v>
      </c>
      <c r="N203" s="27">
        <v>15</v>
      </c>
      <c r="O203" s="41" t="str">
        <f t="shared" si="16"/>
        <v/>
      </c>
      <c r="P203" s="39" t="str">
        <f t="shared" si="17"/>
        <v/>
      </c>
      <c r="Q203" s="41">
        <f t="shared" si="18"/>
        <v>1</v>
      </c>
      <c r="R203" s="39">
        <f t="shared" si="19"/>
        <v>20</v>
      </c>
    </row>
    <row r="204" spans="1:18" ht="16.5" customHeight="1">
      <c r="A204" s="29">
        <v>3433</v>
      </c>
      <c r="B204" s="30" t="s">
        <v>199</v>
      </c>
      <c r="C204" s="30" t="s">
        <v>3</v>
      </c>
      <c r="D204" s="31">
        <v>45550</v>
      </c>
      <c r="E204" s="35" t="str">
        <f t="shared" si="15"/>
        <v>Setembro</v>
      </c>
      <c r="F204" s="25" t="s">
        <v>301</v>
      </c>
      <c r="G204" s="27">
        <v>5</v>
      </c>
      <c r="H204" s="30" t="s">
        <v>297</v>
      </c>
      <c r="I204" s="25" t="s">
        <v>301</v>
      </c>
      <c r="J204" s="27" t="s">
        <v>283</v>
      </c>
      <c r="K204" s="25" t="s">
        <v>301</v>
      </c>
      <c r="L204" s="27">
        <v>0</v>
      </c>
      <c r="M204" s="27">
        <v>1</v>
      </c>
      <c r="N204" s="27">
        <v>4</v>
      </c>
      <c r="O204" s="41" t="str">
        <f t="shared" si="16"/>
        <v/>
      </c>
      <c r="P204" s="39" t="str">
        <f t="shared" si="17"/>
        <v/>
      </c>
      <c r="Q204" s="41" t="str">
        <f t="shared" si="18"/>
        <v/>
      </c>
      <c r="R204" s="39" t="str">
        <f t="shared" si="19"/>
        <v/>
      </c>
    </row>
    <row r="205" spans="1:18" ht="16.5" customHeight="1">
      <c r="A205" s="24">
        <v>3434</v>
      </c>
      <c r="B205" s="25" t="s">
        <v>200</v>
      </c>
      <c r="C205" s="25" t="s">
        <v>1</v>
      </c>
      <c r="D205" s="26">
        <v>45551</v>
      </c>
      <c r="E205" s="34" t="str">
        <f t="shared" si="15"/>
        <v>Setembro</v>
      </c>
      <c r="F205" s="25" t="s">
        <v>300</v>
      </c>
      <c r="G205" s="28">
        <v>15</v>
      </c>
      <c r="H205" s="25" t="s">
        <v>298</v>
      </c>
      <c r="I205" s="25" t="s">
        <v>300</v>
      </c>
      <c r="J205" s="28">
        <v>30</v>
      </c>
      <c r="K205" s="25" t="s">
        <v>300</v>
      </c>
      <c r="L205" s="28">
        <v>20</v>
      </c>
      <c r="M205" s="28">
        <v>7</v>
      </c>
      <c r="N205" s="28">
        <v>58</v>
      </c>
      <c r="O205" s="41">
        <f t="shared" si="16"/>
        <v>1</v>
      </c>
      <c r="P205" s="39">
        <f t="shared" si="17"/>
        <v>30</v>
      </c>
      <c r="Q205" s="41">
        <f t="shared" si="18"/>
        <v>1</v>
      </c>
      <c r="R205" s="39">
        <f t="shared" si="19"/>
        <v>20</v>
      </c>
    </row>
    <row r="206" spans="1:18" ht="16.5" customHeight="1">
      <c r="A206" s="29">
        <v>3435</v>
      </c>
      <c r="B206" s="30" t="s">
        <v>201</v>
      </c>
      <c r="C206" s="30" t="s">
        <v>5</v>
      </c>
      <c r="D206" s="31">
        <v>45552</v>
      </c>
      <c r="E206" s="35" t="str">
        <f t="shared" si="15"/>
        <v>Setembro</v>
      </c>
      <c r="F206" s="25" t="s">
        <v>301</v>
      </c>
      <c r="G206" s="27">
        <v>10</v>
      </c>
      <c r="H206" s="30" t="s">
        <v>297</v>
      </c>
      <c r="I206" s="25" t="s">
        <v>301</v>
      </c>
      <c r="J206" s="27" t="s">
        <v>283</v>
      </c>
      <c r="K206" s="25" t="s">
        <v>300</v>
      </c>
      <c r="L206" s="27">
        <v>20</v>
      </c>
      <c r="M206" s="27">
        <v>10</v>
      </c>
      <c r="N206" s="27">
        <v>20</v>
      </c>
      <c r="O206" s="41" t="str">
        <f t="shared" si="16"/>
        <v/>
      </c>
      <c r="P206" s="39" t="str">
        <f t="shared" si="17"/>
        <v/>
      </c>
      <c r="Q206" s="41">
        <f t="shared" si="18"/>
        <v>1</v>
      </c>
      <c r="R206" s="39">
        <f t="shared" si="19"/>
        <v>20</v>
      </c>
    </row>
    <row r="207" spans="1:18" ht="16.5" customHeight="1">
      <c r="A207" s="29">
        <v>3436</v>
      </c>
      <c r="B207" s="30" t="s">
        <v>202</v>
      </c>
      <c r="C207" s="30" t="s">
        <v>3</v>
      </c>
      <c r="D207" s="31">
        <v>45553</v>
      </c>
      <c r="E207" s="35" t="str">
        <f t="shared" si="15"/>
        <v>Setembro</v>
      </c>
      <c r="F207" s="25" t="s">
        <v>300</v>
      </c>
      <c r="G207" s="27">
        <v>5</v>
      </c>
      <c r="H207" s="30" t="s">
        <v>297</v>
      </c>
      <c r="I207" s="25" t="s">
        <v>301</v>
      </c>
      <c r="J207" s="27" t="s">
        <v>283</v>
      </c>
      <c r="K207" s="25" t="s">
        <v>301</v>
      </c>
      <c r="L207" s="27">
        <v>0</v>
      </c>
      <c r="M207" s="27">
        <v>0</v>
      </c>
      <c r="N207" s="27">
        <v>5</v>
      </c>
      <c r="O207" s="41" t="str">
        <f t="shared" si="16"/>
        <v/>
      </c>
      <c r="P207" s="39" t="str">
        <f t="shared" si="17"/>
        <v/>
      </c>
      <c r="Q207" s="41" t="str">
        <f t="shared" si="18"/>
        <v/>
      </c>
      <c r="R207" s="39" t="str">
        <f t="shared" si="19"/>
        <v/>
      </c>
    </row>
    <row r="208" spans="1:18" ht="16.5" customHeight="1">
      <c r="A208" s="24">
        <v>3437</v>
      </c>
      <c r="B208" s="25" t="s">
        <v>203</v>
      </c>
      <c r="C208" s="25" t="s">
        <v>1</v>
      </c>
      <c r="D208" s="26">
        <v>45554</v>
      </c>
      <c r="E208" s="34" t="str">
        <f t="shared" si="15"/>
        <v>Setembro</v>
      </c>
      <c r="F208" s="25" t="s">
        <v>301</v>
      </c>
      <c r="G208" s="28">
        <v>15</v>
      </c>
      <c r="H208" s="25" t="s">
        <v>298</v>
      </c>
      <c r="I208" s="25" t="s">
        <v>300</v>
      </c>
      <c r="J208" s="28">
        <v>30</v>
      </c>
      <c r="K208" s="25" t="s">
        <v>300</v>
      </c>
      <c r="L208" s="28">
        <v>20</v>
      </c>
      <c r="M208" s="28">
        <v>7</v>
      </c>
      <c r="N208" s="28">
        <v>58</v>
      </c>
      <c r="O208" s="41">
        <f t="shared" si="16"/>
        <v>1</v>
      </c>
      <c r="P208" s="39">
        <f t="shared" si="17"/>
        <v>30</v>
      </c>
      <c r="Q208" s="41">
        <f t="shared" si="18"/>
        <v>1</v>
      </c>
      <c r="R208" s="39">
        <f t="shared" si="19"/>
        <v>20</v>
      </c>
    </row>
    <row r="209" spans="1:18" ht="16.5" customHeight="1">
      <c r="A209" s="29">
        <v>3438</v>
      </c>
      <c r="B209" s="30" t="s">
        <v>204</v>
      </c>
      <c r="C209" s="30" t="s">
        <v>5</v>
      </c>
      <c r="D209" s="31">
        <v>45555</v>
      </c>
      <c r="E209" s="35" t="str">
        <f t="shared" si="15"/>
        <v>Setembro</v>
      </c>
      <c r="F209" s="25" t="s">
        <v>300</v>
      </c>
      <c r="G209" s="27">
        <v>10</v>
      </c>
      <c r="H209" s="30" t="s">
        <v>299</v>
      </c>
      <c r="I209" s="25" t="s">
        <v>301</v>
      </c>
      <c r="J209" s="27" t="s">
        <v>283</v>
      </c>
      <c r="K209" s="25" t="s">
        <v>300</v>
      </c>
      <c r="L209" s="27">
        <v>20</v>
      </c>
      <c r="M209" s="27">
        <v>10</v>
      </c>
      <c r="N209" s="27">
        <v>20</v>
      </c>
      <c r="O209" s="41" t="str">
        <f t="shared" si="16"/>
        <v/>
      </c>
      <c r="P209" s="39" t="str">
        <f t="shared" si="17"/>
        <v/>
      </c>
      <c r="Q209" s="41">
        <f t="shared" si="18"/>
        <v>1</v>
      </c>
      <c r="R209" s="39">
        <f t="shared" si="19"/>
        <v>20</v>
      </c>
    </row>
    <row r="210" spans="1:18" ht="16.5" customHeight="1">
      <c r="A210" s="29">
        <v>3439</v>
      </c>
      <c r="B210" s="30" t="s">
        <v>205</v>
      </c>
      <c r="C210" s="30" t="s">
        <v>3</v>
      </c>
      <c r="D210" s="31">
        <v>45556</v>
      </c>
      <c r="E210" s="35" t="str">
        <f t="shared" si="15"/>
        <v>Setembro</v>
      </c>
      <c r="F210" s="25" t="s">
        <v>301</v>
      </c>
      <c r="G210" s="27">
        <v>5</v>
      </c>
      <c r="H210" s="30" t="s">
        <v>298</v>
      </c>
      <c r="I210" s="25" t="s">
        <v>301</v>
      </c>
      <c r="J210" s="27" t="s">
        <v>283</v>
      </c>
      <c r="K210" s="25" t="s">
        <v>301</v>
      </c>
      <c r="L210" s="27">
        <v>0</v>
      </c>
      <c r="M210" s="27">
        <v>1</v>
      </c>
      <c r="N210" s="27">
        <v>4</v>
      </c>
      <c r="O210" s="41" t="str">
        <f t="shared" si="16"/>
        <v/>
      </c>
      <c r="P210" s="39" t="str">
        <f t="shared" si="17"/>
        <v/>
      </c>
      <c r="Q210" s="41" t="str">
        <f t="shared" si="18"/>
        <v/>
      </c>
      <c r="R210" s="39" t="str">
        <f t="shared" si="19"/>
        <v/>
      </c>
    </row>
    <row r="211" spans="1:18" ht="16.5" customHeight="1">
      <c r="A211" s="24">
        <v>3440</v>
      </c>
      <c r="B211" s="25" t="s">
        <v>206</v>
      </c>
      <c r="C211" s="25" t="s">
        <v>1</v>
      </c>
      <c r="D211" s="26">
        <v>45557</v>
      </c>
      <c r="E211" s="34" t="str">
        <f t="shared" si="15"/>
        <v>Setembro</v>
      </c>
      <c r="F211" s="25" t="s">
        <v>300</v>
      </c>
      <c r="G211" s="28">
        <v>15</v>
      </c>
      <c r="H211" s="25" t="s">
        <v>297</v>
      </c>
      <c r="I211" s="25" t="s">
        <v>300</v>
      </c>
      <c r="J211" s="28">
        <v>30</v>
      </c>
      <c r="K211" s="25" t="s">
        <v>300</v>
      </c>
      <c r="L211" s="28">
        <v>20</v>
      </c>
      <c r="M211" s="28">
        <v>15</v>
      </c>
      <c r="N211" s="28">
        <v>50</v>
      </c>
      <c r="O211" s="41">
        <f t="shared" si="16"/>
        <v>1</v>
      </c>
      <c r="P211" s="39">
        <f t="shared" si="17"/>
        <v>30</v>
      </c>
      <c r="Q211" s="41">
        <f t="shared" si="18"/>
        <v>1</v>
      </c>
      <c r="R211" s="39">
        <f t="shared" si="19"/>
        <v>20</v>
      </c>
    </row>
    <row r="212" spans="1:18" ht="16.5" customHeight="1">
      <c r="A212" s="29">
        <v>3441</v>
      </c>
      <c r="B212" s="30" t="s">
        <v>207</v>
      </c>
      <c r="C212" s="30" t="s">
        <v>5</v>
      </c>
      <c r="D212" s="31">
        <v>45558</v>
      </c>
      <c r="E212" s="35" t="str">
        <f t="shared" si="15"/>
        <v>Setembro</v>
      </c>
      <c r="F212" s="25" t="s">
        <v>301</v>
      </c>
      <c r="G212" s="27">
        <v>10</v>
      </c>
      <c r="H212" s="30" t="s">
        <v>297</v>
      </c>
      <c r="I212" s="25" t="s">
        <v>301</v>
      </c>
      <c r="J212" s="27" t="s">
        <v>283</v>
      </c>
      <c r="K212" s="25" t="s">
        <v>300</v>
      </c>
      <c r="L212" s="27">
        <v>20</v>
      </c>
      <c r="M212" s="27">
        <v>5</v>
      </c>
      <c r="N212" s="27">
        <v>25</v>
      </c>
      <c r="O212" s="41" t="str">
        <f t="shared" si="16"/>
        <v/>
      </c>
      <c r="P212" s="39" t="str">
        <f t="shared" si="17"/>
        <v/>
      </c>
      <c r="Q212" s="41">
        <f t="shared" si="18"/>
        <v>1</v>
      </c>
      <c r="R212" s="39">
        <f t="shared" si="19"/>
        <v>20</v>
      </c>
    </row>
    <row r="213" spans="1:18" ht="16.5" customHeight="1">
      <c r="A213" s="29">
        <v>3442</v>
      </c>
      <c r="B213" s="30" t="s">
        <v>208</v>
      </c>
      <c r="C213" s="30" t="s">
        <v>3</v>
      </c>
      <c r="D213" s="31">
        <v>45559</v>
      </c>
      <c r="E213" s="35" t="str">
        <f t="shared" si="15"/>
        <v>Setembro</v>
      </c>
      <c r="F213" s="25" t="s">
        <v>300</v>
      </c>
      <c r="G213" s="27">
        <v>5</v>
      </c>
      <c r="H213" s="30" t="s">
        <v>299</v>
      </c>
      <c r="I213" s="25" t="s">
        <v>301</v>
      </c>
      <c r="J213" s="27" t="s">
        <v>283</v>
      </c>
      <c r="K213" s="25" t="s">
        <v>301</v>
      </c>
      <c r="L213" s="27">
        <v>0</v>
      </c>
      <c r="M213" s="27">
        <v>0</v>
      </c>
      <c r="N213" s="27">
        <v>5</v>
      </c>
      <c r="O213" s="41" t="str">
        <f t="shared" si="16"/>
        <v/>
      </c>
      <c r="P213" s="39" t="str">
        <f t="shared" si="17"/>
        <v/>
      </c>
      <c r="Q213" s="41" t="str">
        <f t="shared" si="18"/>
        <v/>
      </c>
      <c r="R213" s="39" t="str">
        <f t="shared" si="19"/>
        <v/>
      </c>
    </row>
    <row r="214" spans="1:18" ht="16.5" customHeight="1">
      <c r="A214" s="24">
        <v>3443</v>
      </c>
      <c r="B214" s="25" t="s">
        <v>209</v>
      </c>
      <c r="C214" s="25" t="s">
        <v>1</v>
      </c>
      <c r="D214" s="26">
        <v>45560</v>
      </c>
      <c r="E214" s="34" t="str">
        <f t="shared" si="15"/>
        <v>Setembro</v>
      </c>
      <c r="F214" s="25" t="s">
        <v>301</v>
      </c>
      <c r="G214" s="28">
        <v>15</v>
      </c>
      <c r="H214" s="25" t="s">
        <v>298</v>
      </c>
      <c r="I214" s="25" t="s">
        <v>300</v>
      </c>
      <c r="J214" s="28">
        <v>30</v>
      </c>
      <c r="K214" s="25" t="s">
        <v>300</v>
      </c>
      <c r="L214" s="28">
        <v>20</v>
      </c>
      <c r="M214" s="28">
        <v>20</v>
      </c>
      <c r="N214" s="28">
        <v>45</v>
      </c>
      <c r="O214" s="41">
        <f t="shared" si="16"/>
        <v>1</v>
      </c>
      <c r="P214" s="39">
        <f t="shared" si="17"/>
        <v>30</v>
      </c>
      <c r="Q214" s="41">
        <f t="shared" si="18"/>
        <v>1</v>
      </c>
      <c r="R214" s="39">
        <f t="shared" si="19"/>
        <v>20</v>
      </c>
    </row>
    <row r="215" spans="1:18" ht="16.5" customHeight="1">
      <c r="A215" s="29">
        <v>3444</v>
      </c>
      <c r="B215" s="30" t="s">
        <v>210</v>
      </c>
      <c r="C215" s="30" t="s">
        <v>5</v>
      </c>
      <c r="D215" s="31">
        <v>45561</v>
      </c>
      <c r="E215" s="35" t="str">
        <f t="shared" si="15"/>
        <v>Setembro</v>
      </c>
      <c r="F215" s="25" t="s">
        <v>300</v>
      </c>
      <c r="G215" s="27">
        <v>10</v>
      </c>
      <c r="H215" s="30" t="s">
        <v>298</v>
      </c>
      <c r="I215" s="25" t="s">
        <v>301</v>
      </c>
      <c r="J215" s="27" t="s">
        <v>283</v>
      </c>
      <c r="K215" s="25" t="s">
        <v>300</v>
      </c>
      <c r="L215" s="27">
        <v>20</v>
      </c>
      <c r="M215" s="27">
        <v>12</v>
      </c>
      <c r="N215" s="27">
        <v>18</v>
      </c>
      <c r="O215" s="41" t="str">
        <f t="shared" si="16"/>
        <v/>
      </c>
      <c r="P215" s="39" t="str">
        <f t="shared" si="17"/>
        <v/>
      </c>
      <c r="Q215" s="41">
        <f t="shared" si="18"/>
        <v>1</v>
      </c>
      <c r="R215" s="39">
        <f t="shared" si="19"/>
        <v>20</v>
      </c>
    </row>
    <row r="216" spans="1:18" ht="16.5" customHeight="1">
      <c r="A216" s="29">
        <v>3445</v>
      </c>
      <c r="B216" s="30" t="s">
        <v>40</v>
      </c>
      <c r="C216" s="30" t="s">
        <v>3</v>
      </c>
      <c r="D216" s="31">
        <v>45562</v>
      </c>
      <c r="E216" s="35" t="str">
        <f t="shared" si="15"/>
        <v>Setembro</v>
      </c>
      <c r="F216" s="25" t="s">
        <v>301</v>
      </c>
      <c r="G216" s="27">
        <v>5</v>
      </c>
      <c r="H216" s="30" t="s">
        <v>297</v>
      </c>
      <c r="I216" s="25" t="s">
        <v>301</v>
      </c>
      <c r="J216" s="27" t="s">
        <v>283</v>
      </c>
      <c r="K216" s="25" t="s">
        <v>301</v>
      </c>
      <c r="L216" s="27">
        <v>0</v>
      </c>
      <c r="M216" s="27">
        <v>2</v>
      </c>
      <c r="N216" s="27">
        <v>3</v>
      </c>
      <c r="O216" s="41" t="str">
        <f t="shared" si="16"/>
        <v/>
      </c>
      <c r="P216" s="39" t="str">
        <f t="shared" si="17"/>
        <v/>
      </c>
      <c r="Q216" s="41" t="str">
        <f t="shared" si="18"/>
        <v/>
      </c>
      <c r="R216" s="39" t="str">
        <f t="shared" si="19"/>
        <v/>
      </c>
    </row>
    <row r="217" spans="1:18" ht="16.5" customHeight="1">
      <c r="A217" s="24">
        <v>3446</v>
      </c>
      <c r="B217" s="25" t="s">
        <v>211</v>
      </c>
      <c r="C217" s="25" t="s">
        <v>1</v>
      </c>
      <c r="D217" s="26">
        <v>45563</v>
      </c>
      <c r="E217" s="34" t="str">
        <f t="shared" si="15"/>
        <v>Setembro</v>
      </c>
      <c r="F217" s="25" t="s">
        <v>300</v>
      </c>
      <c r="G217" s="28">
        <v>15</v>
      </c>
      <c r="H217" s="25" t="s">
        <v>299</v>
      </c>
      <c r="I217" s="25" t="s">
        <v>300</v>
      </c>
      <c r="J217" s="28">
        <v>30</v>
      </c>
      <c r="K217" s="25" t="s">
        <v>300</v>
      </c>
      <c r="L217" s="28">
        <v>20</v>
      </c>
      <c r="M217" s="28">
        <v>5</v>
      </c>
      <c r="N217" s="28">
        <v>60</v>
      </c>
      <c r="O217" s="41">
        <f t="shared" si="16"/>
        <v>1</v>
      </c>
      <c r="P217" s="39">
        <f t="shared" si="17"/>
        <v>30</v>
      </c>
      <c r="Q217" s="41">
        <f t="shared" si="18"/>
        <v>1</v>
      </c>
      <c r="R217" s="39">
        <f t="shared" si="19"/>
        <v>20</v>
      </c>
    </row>
    <row r="218" spans="1:18" ht="16.5" customHeight="1">
      <c r="A218" s="29">
        <v>3447</v>
      </c>
      <c r="B218" s="30" t="s">
        <v>212</v>
      </c>
      <c r="C218" s="30" t="s">
        <v>5</v>
      </c>
      <c r="D218" s="31">
        <v>45564</v>
      </c>
      <c r="E218" s="35" t="str">
        <f t="shared" si="15"/>
        <v>Setembro</v>
      </c>
      <c r="F218" s="25" t="s">
        <v>301</v>
      </c>
      <c r="G218" s="27">
        <v>10</v>
      </c>
      <c r="H218" s="30" t="s">
        <v>297</v>
      </c>
      <c r="I218" s="25" t="s">
        <v>301</v>
      </c>
      <c r="J218" s="27" t="s">
        <v>283</v>
      </c>
      <c r="K218" s="25" t="s">
        <v>300</v>
      </c>
      <c r="L218" s="27">
        <v>20</v>
      </c>
      <c r="M218" s="27">
        <v>10</v>
      </c>
      <c r="N218" s="27">
        <v>20</v>
      </c>
      <c r="O218" s="41" t="str">
        <f t="shared" si="16"/>
        <v/>
      </c>
      <c r="P218" s="39" t="str">
        <f t="shared" si="17"/>
        <v/>
      </c>
      <c r="Q218" s="41">
        <f t="shared" si="18"/>
        <v>1</v>
      </c>
      <c r="R218" s="39">
        <f t="shared" si="19"/>
        <v>20</v>
      </c>
    </row>
    <row r="219" spans="1:18" ht="16.5" customHeight="1">
      <c r="A219" s="29">
        <v>3448</v>
      </c>
      <c r="B219" s="30" t="s">
        <v>213</v>
      </c>
      <c r="C219" s="30" t="s">
        <v>3</v>
      </c>
      <c r="D219" s="31">
        <v>45565</v>
      </c>
      <c r="E219" s="35" t="str">
        <f t="shared" si="15"/>
        <v>Setembro</v>
      </c>
      <c r="F219" s="25" t="s">
        <v>300</v>
      </c>
      <c r="G219" s="27">
        <v>5</v>
      </c>
      <c r="H219" s="30" t="s">
        <v>298</v>
      </c>
      <c r="I219" s="25" t="s">
        <v>301</v>
      </c>
      <c r="J219" s="27" t="s">
        <v>283</v>
      </c>
      <c r="K219" s="25" t="s">
        <v>301</v>
      </c>
      <c r="L219" s="27">
        <v>0</v>
      </c>
      <c r="M219" s="27">
        <v>0</v>
      </c>
      <c r="N219" s="27">
        <v>5</v>
      </c>
      <c r="O219" s="41" t="str">
        <f t="shared" si="16"/>
        <v/>
      </c>
      <c r="P219" s="39" t="str">
        <f t="shared" si="17"/>
        <v/>
      </c>
      <c r="Q219" s="41" t="str">
        <f t="shared" si="18"/>
        <v/>
      </c>
      <c r="R219" s="39" t="str">
        <f t="shared" si="19"/>
        <v/>
      </c>
    </row>
    <row r="220" spans="1:18" ht="16.5" customHeight="1">
      <c r="A220" s="24">
        <v>3449</v>
      </c>
      <c r="B220" s="25" t="s">
        <v>214</v>
      </c>
      <c r="C220" s="25" t="s">
        <v>1</v>
      </c>
      <c r="D220" s="26">
        <v>45566</v>
      </c>
      <c r="E220" s="34" t="str">
        <f t="shared" si="15"/>
        <v>Outubro</v>
      </c>
      <c r="F220" s="25" t="s">
        <v>301</v>
      </c>
      <c r="G220" s="28">
        <v>15</v>
      </c>
      <c r="H220" s="25" t="s">
        <v>297</v>
      </c>
      <c r="I220" s="25" t="s">
        <v>300</v>
      </c>
      <c r="J220" s="28">
        <v>30</v>
      </c>
      <c r="K220" s="25" t="s">
        <v>300</v>
      </c>
      <c r="L220" s="28">
        <v>20</v>
      </c>
      <c r="M220" s="28">
        <v>3</v>
      </c>
      <c r="N220" s="28">
        <v>62</v>
      </c>
      <c r="O220" s="41">
        <f t="shared" si="16"/>
        <v>1</v>
      </c>
      <c r="P220" s="39">
        <f t="shared" si="17"/>
        <v>30</v>
      </c>
      <c r="Q220" s="41">
        <f t="shared" si="18"/>
        <v>1</v>
      </c>
      <c r="R220" s="39">
        <f t="shared" si="19"/>
        <v>20</v>
      </c>
    </row>
    <row r="221" spans="1:18" ht="16.5" customHeight="1">
      <c r="A221" s="29">
        <v>3450</v>
      </c>
      <c r="B221" s="30" t="s">
        <v>215</v>
      </c>
      <c r="C221" s="30" t="s">
        <v>5</v>
      </c>
      <c r="D221" s="31">
        <v>45567</v>
      </c>
      <c r="E221" s="35" t="str">
        <f t="shared" si="15"/>
        <v>Outubro</v>
      </c>
      <c r="F221" s="25" t="s">
        <v>300</v>
      </c>
      <c r="G221" s="27">
        <v>10</v>
      </c>
      <c r="H221" s="30" t="s">
        <v>299</v>
      </c>
      <c r="I221" s="25" t="s">
        <v>301</v>
      </c>
      <c r="J221" s="27" t="s">
        <v>283</v>
      </c>
      <c r="K221" s="25" t="s">
        <v>300</v>
      </c>
      <c r="L221" s="27">
        <v>20</v>
      </c>
      <c r="M221" s="27">
        <v>15</v>
      </c>
      <c r="N221" s="27">
        <v>15</v>
      </c>
      <c r="O221" s="41" t="str">
        <f t="shared" si="16"/>
        <v/>
      </c>
      <c r="P221" s="39" t="str">
        <f t="shared" si="17"/>
        <v/>
      </c>
      <c r="Q221" s="41">
        <f t="shared" si="18"/>
        <v>1</v>
      </c>
      <c r="R221" s="39">
        <f t="shared" si="19"/>
        <v>20</v>
      </c>
    </row>
    <row r="222" spans="1:18" ht="16.5" customHeight="1">
      <c r="A222" s="29">
        <v>3451</v>
      </c>
      <c r="B222" s="30" t="s">
        <v>216</v>
      </c>
      <c r="C222" s="30" t="s">
        <v>3</v>
      </c>
      <c r="D222" s="31">
        <v>45568</v>
      </c>
      <c r="E222" s="35" t="str">
        <f t="shared" si="15"/>
        <v>Outubro</v>
      </c>
      <c r="F222" s="25" t="s">
        <v>301</v>
      </c>
      <c r="G222" s="27">
        <v>5</v>
      </c>
      <c r="H222" s="30" t="s">
        <v>297</v>
      </c>
      <c r="I222" s="25" t="s">
        <v>301</v>
      </c>
      <c r="J222" s="27" t="s">
        <v>283</v>
      </c>
      <c r="K222" s="25" t="s">
        <v>301</v>
      </c>
      <c r="L222" s="27">
        <v>0</v>
      </c>
      <c r="M222" s="27">
        <v>1</v>
      </c>
      <c r="N222" s="27">
        <v>4</v>
      </c>
      <c r="O222" s="41" t="str">
        <f t="shared" si="16"/>
        <v/>
      </c>
      <c r="P222" s="39" t="str">
        <f t="shared" si="17"/>
        <v/>
      </c>
      <c r="Q222" s="41" t="str">
        <f t="shared" si="18"/>
        <v/>
      </c>
      <c r="R222" s="39" t="str">
        <f t="shared" si="19"/>
        <v/>
      </c>
    </row>
    <row r="223" spans="1:18" ht="16.5" customHeight="1">
      <c r="A223" s="24">
        <v>3452</v>
      </c>
      <c r="B223" s="25" t="s">
        <v>194</v>
      </c>
      <c r="C223" s="25" t="s">
        <v>1</v>
      </c>
      <c r="D223" s="26">
        <v>45569</v>
      </c>
      <c r="E223" s="34" t="str">
        <f t="shared" si="15"/>
        <v>Outubro</v>
      </c>
      <c r="F223" s="25" t="s">
        <v>300</v>
      </c>
      <c r="G223" s="28">
        <v>15</v>
      </c>
      <c r="H223" s="25" t="s">
        <v>298</v>
      </c>
      <c r="I223" s="25" t="s">
        <v>300</v>
      </c>
      <c r="J223" s="28">
        <v>30</v>
      </c>
      <c r="K223" s="25" t="s">
        <v>300</v>
      </c>
      <c r="L223" s="28">
        <v>20</v>
      </c>
      <c r="M223" s="28">
        <v>7</v>
      </c>
      <c r="N223" s="28">
        <v>58</v>
      </c>
      <c r="O223" s="41">
        <f t="shared" si="16"/>
        <v>1</v>
      </c>
      <c r="P223" s="39">
        <f t="shared" si="17"/>
        <v>30</v>
      </c>
      <c r="Q223" s="41">
        <f t="shared" si="18"/>
        <v>1</v>
      </c>
      <c r="R223" s="39">
        <f t="shared" si="19"/>
        <v>20</v>
      </c>
    </row>
    <row r="224" spans="1:18" ht="16.5" customHeight="1">
      <c r="A224" s="29">
        <v>3453</v>
      </c>
      <c r="B224" s="30" t="s">
        <v>48</v>
      </c>
      <c r="C224" s="30" t="s">
        <v>5</v>
      </c>
      <c r="D224" s="31">
        <v>45570</v>
      </c>
      <c r="E224" s="35" t="str">
        <f t="shared" si="15"/>
        <v>Outubro</v>
      </c>
      <c r="F224" s="25" t="s">
        <v>301</v>
      </c>
      <c r="G224" s="27">
        <v>10</v>
      </c>
      <c r="H224" s="30" t="s">
        <v>297</v>
      </c>
      <c r="I224" s="25" t="s">
        <v>301</v>
      </c>
      <c r="J224" s="27" t="s">
        <v>283</v>
      </c>
      <c r="K224" s="25" t="s">
        <v>300</v>
      </c>
      <c r="L224" s="27">
        <v>20</v>
      </c>
      <c r="M224" s="27">
        <v>10</v>
      </c>
      <c r="N224" s="27">
        <v>20</v>
      </c>
      <c r="O224" s="41" t="str">
        <f t="shared" si="16"/>
        <v/>
      </c>
      <c r="P224" s="39" t="str">
        <f t="shared" si="17"/>
        <v/>
      </c>
      <c r="Q224" s="41">
        <f t="shared" si="18"/>
        <v>1</v>
      </c>
      <c r="R224" s="39">
        <f t="shared" si="19"/>
        <v>20</v>
      </c>
    </row>
    <row r="225" spans="1:18" ht="16.5" customHeight="1">
      <c r="A225" s="29">
        <v>3454</v>
      </c>
      <c r="B225" s="30" t="s">
        <v>217</v>
      </c>
      <c r="C225" s="30" t="s">
        <v>3</v>
      </c>
      <c r="D225" s="31">
        <v>45571</v>
      </c>
      <c r="E225" s="35" t="str">
        <f t="shared" si="15"/>
        <v>Outubro</v>
      </c>
      <c r="F225" s="25" t="s">
        <v>300</v>
      </c>
      <c r="G225" s="27">
        <v>5</v>
      </c>
      <c r="H225" s="30" t="s">
        <v>299</v>
      </c>
      <c r="I225" s="25" t="s">
        <v>301</v>
      </c>
      <c r="J225" s="27" t="s">
        <v>283</v>
      </c>
      <c r="K225" s="25" t="s">
        <v>301</v>
      </c>
      <c r="L225" s="27">
        <v>0</v>
      </c>
      <c r="M225" s="27">
        <v>0</v>
      </c>
      <c r="N225" s="27">
        <v>5</v>
      </c>
      <c r="O225" s="41" t="str">
        <f t="shared" si="16"/>
        <v/>
      </c>
      <c r="P225" s="39" t="str">
        <f t="shared" si="17"/>
        <v/>
      </c>
      <c r="Q225" s="41" t="str">
        <f t="shared" si="18"/>
        <v/>
      </c>
      <c r="R225" s="39" t="str">
        <f t="shared" si="19"/>
        <v/>
      </c>
    </row>
    <row r="226" spans="1:18" ht="16.5" customHeight="1">
      <c r="A226" s="24">
        <v>3455</v>
      </c>
      <c r="B226" s="25" t="s">
        <v>218</v>
      </c>
      <c r="C226" s="25" t="s">
        <v>1</v>
      </c>
      <c r="D226" s="26">
        <v>45572</v>
      </c>
      <c r="E226" s="34" t="str">
        <f t="shared" si="15"/>
        <v>Outubro</v>
      </c>
      <c r="F226" s="25" t="s">
        <v>301</v>
      </c>
      <c r="G226" s="28">
        <v>15</v>
      </c>
      <c r="H226" s="25" t="s">
        <v>297</v>
      </c>
      <c r="I226" s="25" t="s">
        <v>300</v>
      </c>
      <c r="J226" s="28">
        <v>30</v>
      </c>
      <c r="K226" s="25" t="s">
        <v>300</v>
      </c>
      <c r="L226" s="28">
        <v>20</v>
      </c>
      <c r="M226" s="28">
        <v>20</v>
      </c>
      <c r="N226" s="28">
        <v>45</v>
      </c>
      <c r="O226" s="41">
        <f t="shared" si="16"/>
        <v>1</v>
      </c>
      <c r="P226" s="39">
        <f t="shared" si="17"/>
        <v>30</v>
      </c>
      <c r="Q226" s="41">
        <f t="shared" si="18"/>
        <v>1</v>
      </c>
      <c r="R226" s="39">
        <f t="shared" si="19"/>
        <v>20</v>
      </c>
    </row>
    <row r="227" spans="1:18" ht="16.5" customHeight="1">
      <c r="A227" s="29">
        <v>3456</v>
      </c>
      <c r="B227" s="30" t="s">
        <v>219</v>
      </c>
      <c r="C227" s="30" t="s">
        <v>5</v>
      </c>
      <c r="D227" s="31">
        <v>45573</v>
      </c>
      <c r="E227" s="35" t="str">
        <f t="shared" si="15"/>
        <v>Outubro</v>
      </c>
      <c r="F227" s="25" t="s">
        <v>300</v>
      </c>
      <c r="G227" s="27">
        <v>10</v>
      </c>
      <c r="H227" s="30" t="s">
        <v>298</v>
      </c>
      <c r="I227" s="25" t="s">
        <v>301</v>
      </c>
      <c r="J227" s="27" t="s">
        <v>283</v>
      </c>
      <c r="K227" s="25" t="s">
        <v>300</v>
      </c>
      <c r="L227" s="27">
        <v>20</v>
      </c>
      <c r="M227" s="27">
        <v>15</v>
      </c>
      <c r="N227" s="27">
        <v>15</v>
      </c>
      <c r="O227" s="41" t="str">
        <f t="shared" si="16"/>
        <v/>
      </c>
      <c r="P227" s="39" t="str">
        <f t="shared" si="17"/>
        <v/>
      </c>
      <c r="Q227" s="41">
        <f t="shared" si="18"/>
        <v>1</v>
      </c>
      <c r="R227" s="39">
        <f t="shared" si="19"/>
        <v>20</v>
      </c>
    </row>
    <row r="228" spans="1:18" ht="16.5" customHeight="1">
      <c r="A228" s="29">
        <v>3457</v>
      </c>
      <c r="B228" s="30" t="s">
        <v>220</v>
      </c>
      <c r="C228" s="30" t="s">
        <v>3</v>
      </c>
      <c r="D228" s="31">
        <v>45574</v>
      </c>
      <c r="E228" s="35" t="str">
        <f t="shared" si="15"/>
        <v>Outubro</v>
      </c>
      <c r="F228" s="25" t="s">
        <v>301</v>
      </c>
      <c r="G228" s="27">
        <v>5</v>
      </c>
      <c r="H228" s="30" t="s">
        <v>297</v>
      </c>
      <c r="I228" s="25" t="s">
        <v>301</v>
      </c>
      <c r="J228" s="27" t="s">
        <v>283</v>
      </c>
      <c r="K228" s="25" t="s">
        <v>301</v>
      </c>
      <c r="L228" s="27">
        <v>0</v>
      </c>
      <c r="M228" s="27">
        <v>1</v>
      </c>
      <c r="N228" s="27">
        <v>4</v>
      </c>
      <c r="O228" s="41" t="str">
        <f t="shared" si="16"/>
        <v/>
      </c>
      <c r="P228" s="39" t="str">
        <f t="shared" si="17"/>
        <v/>
      </c>
      <c r="Q228" s="41" t="str">
        <f t="shared" si="18"/>
        <v/>
      </c>
      <c r="R228" s="39" t="str">
        <f t="shared" si="19"/>
        <v/>
      </c>
    </row>
    <row r="229" spans="1:18" ht="16.5" customHeight="1">
      <c r="A229" s="24">
        <v>3458</v>
      </c>
      <c r="B229" s="25" t="s">
        <v>221</v>
      </c>
      <c r="C229" s="25" t="s">
        <v>1</v>
      </c>
      <c r="D229" s="26">
        <v>45575</v>
      </c>
      <c r="E229" s="34" t="str">
        <f t="shared" si="15"/>
        <v>Outubro</v>
      </c>
      <c r="F229" s="25" t="s">
        <v>300</v>
      </c>
      <c r="G229" s="28">
        <v>15</v>
      </c>
      <c r="H229" s="25" t="s">
        <v>299</v>
      </c>
      <c r="I229" s="25" t="s">
        <v>300</v>
      </c>
      <c r="J229" s="28">
        <v>30</v>
      </c>
      <c r="K229" s="25" t="s">
        <v>300</v>
      </c>
      <c r="L229" s="28">
        <v>20</v>
      </c>
      <c r="M229" s="28">
        <v>3</v>
      </c>
      <c r="N229" s="28">
        <v>62</v>
      </c>
      <c r="O229" s="41">
        <f t="shared" si="16"/>
        <v>1</v>
      </c>
      <c r="P229" s="39">
        <f t="shared" si="17"/>
        <v>30</v>
      </c>
      <c r="Q229" s="41">
        <f t="shared" si="18"/>
        <v>1</v>
      </c>
      <c r="R229" s="39">
        <f t="shared" si="19"/>
        <v>20</v>
      </c>
    </row>
    <row r="230" spans="1:18" ht="16.5" customHeight="1">
      <c r="A230" s="29">
        <v>3459</v>
      </c>
      <c r="B230" s="30" t="s">
        <v>222</v>
      </c>
      <c r="C230" s="30" t="s">
        <v>5</v>
      </c>
      <c r="D230" s="31">
        <v>45576</v>
      </c>
      <c r="E230" s="35" t="str">
        <f t="shared" si="15"/>
        <v>Outubro</v>
      </c>
      <c r="F230" s="25" t="s">
        <v>301</v>
      </c>
      <c r="G230" s="27">
        <v>10</v>
      </c>
      <c r="H230" s="30" t="s">
        <v>297</v>
      </c>
      <c r="I230" s="25" t="s">
        <v>301</v>
      </c>
      <c r="J230" s="27" t="s">
        <v>283</v>
      </c>
      <c r="K230" s="25" t="s">
        <v>300</v>
      </c>
      <c r="L230" s="27">
        <v>20</v>
      </c>
      <c r="M230" s="27">
        <v>10</v>
      </c>
      <c r="N230" s="27">
        <v>20</v>
      </c>
      <c r="O230" s="41" t="str">
        <f t="shared" si="16"/>
        <v/>
      </c>
      <c r="P230" s="39" t="str">
        <f t="shared" si="17"/>
        <v/>
      </c>
      <c r="Q230" s="41">
        <f t="shared" si="18"/>
        <v>1</v>
      </c>
      <c r="R230" s="39">
        <f t="shared" si="19"/>
        <v>20</v>
      </c>
    </row>
    <row r="231" spans="1:18" ht="16.5" customHeight="1">
      <c r="A231" s="29">
        <v>3460</v>
      </c>
      <c r="B231" s="30" t="s">
        <v>130</v>
      </c>
      <c r="C231" s="30" t="s">
        <v>3</v>
      </c>
      <c r="D231" s="31">
        <v>45577</v>
      </c>
      <c r="E231" s="35" t="str">
        <f t="shared" si="15"/>
        <v>Outubro</v>
      </c>
      <c r="F231" s="25" t="s">
        <v>300</v>
      </c>
      <c r="G231" s="27">
        <v>5</v>
      </c>
      <c r="H231" s="30" t="s">
        <v>298</v>
      </c>
      <c r="I231" s="25" t="s">
        <v>301</v>
      </c>
      <c r="J231" s="27" t="s">
        <v>283</v>
      </c>
      <c r="K231" s="25" t="s">
        <v>301</v>
      </c>
      <c r="L231" s="27">
        <v>0</v>
      </c>
      <c r="M231" s="27">
        <v>0</v>
      </c>
      <c r="N231" s="27">
        <v>5</v>
      </c>
      <c r="O231" s="41" t="str">
        <f t="shared" si="16"/>
        <v/>
      </c>
      <c r="P231" s="39" t="str">
        <f t="shared" si="17"/>
        <v/>
      </c>
      <c r="Q231" s="41" t="str">
        <f t="shared" si="18"/>
        <v/>
      </c>
      <c r="R231" s="39" t="str">
        <f t="shared" si="19"/>
        <v/>
      </c>
    </row>
    <row r="232" spans="1:18" ht="16.5" customHeight="1">
      <c r="A232" s="24">
        <v>3461</v>
      </c>
      <c r="B232" s="25" t="s">
        <v>223</v>
      </c>
      <c r="C232" s="25" t="s">
        <v>1</v>
      </c>
      <c r="D232" s="26">
        <v>45578</v>
      </c>
      <c r="E232" s="34" t="str">
        <f t="shared" si="15"/>
        <v>Outubro</v>
      </c>
      <c r="F232" s="25" t="s">
        <v>301</v>
      </c>
      <c r="G232" s="28">
        <v>15</v>
      </c>
      <c r="H232" s="25" t="s">
        <v>297</v>
      </c>
      <c r="I232" s="25" t="s">
        <v>300</v>
      </c>
      <c r="J232" s="28">
        <v>30</v>
      </c>
      <c r="K232" s="25" t="s">
        <v>300</v>
      </c>
      <c r="L232" s="28">
        <v>20</v>
      </c>
      <c r="M232" s="28">
        <v>15</v>
      </c>
      <c r="N232" s="28">
        <v>50</v>
      </c>
      <c r="O232" s="41">
        <f t="shared" si="16"/>
        <v>1</v>
      </c>
      <c r="P232" s="39">
        <f t="shared" si="17"/>
        <v>30</v>
      </c>
      <c r="Q232" s="41">
        <f t="shared" si="18"/>
        <v>1</v>
      </c>
      <c r="R232" s="39">
        <f t="shared" si="19"/>
        <v>20</v>
      </c>
    </row>
    <row r="233" spans="1:18" ht="16.5" customHeight="1">
      <c r="A233" s="29">
        <v>3462</v>
      </c>
      <c r="B233" s="30" t="s">
        <v>224</v>
      </c>
      <c r="C233" s="30" t="s">
        <v>5</v>
      </c>
      <c r="D233" s="31">
        <v>45579</v>
      </c>
      <c r="E233" s="35" t="str">
        <f t="shared" si="15"/>
        <v>Outubro</v>
      </c>
      <c r="F233" s="25" t="s">
        <v>300</v>
      </c>
      <c r="G233" s="27">
        <v>10</v>
      </c>
      <c r="H233" s="30" t="s">
        <v>299</v>
      </c>
      <c r="I233" s="25" t="s">
        <v>301</v>
      </c>
      <c r="J233" s="27" t="s">
        <v>283</v>
      </c>
      <c r="K233" s="25" t="s">
        <v>300</v>
      </c>
      <c r="L233" s="27">
        <v>20</v>
      </c>
      <c r="M233" s="27">
        <v>15</v>
      </c>
      <c r="N233" s="27">
        <v>15</v>
      </c>
      <c r="O233" s="41" t="str">
        <f t="shared" si="16"/>
        <v/>
      </c>
      <c r="P233" s="39" t="str">
        <f t="shared" si="17"/>
        <v/>
      </c>
      <c r="Q233" s="41">
        <f t="shared" si="18"/>
        <v>1</v>
      </c>
      <c r="R233" s="39">
        <f t="shared" si="19"/>
        <v>20</v>
      </c>
    </row>
    <row r="234" spans="1:18" ht="16.5" customHeight="1">
      <c r="A234" s="29">
        <v>3463</v>
      </c>
      <c r="B234" s="30" t="s">
        <v>225</v>
      </c>
      <c r="C234" s="30" t="s">
        <v>3</v>
      </c>
      <c r="D234" s="31">
        <v>45580</v>
      </c>
      <c r="E234" s="35" t="str">
        <f t="shared" si="15"/>
        <v>Outubro</v>
      </c>
      <c r="F234" s="25" t="s">
        <v>301</v>
      </c>
      <c r="G234" s="27">
        <v>5</v>
      </c>
      <c r="H234" s="30" t="s">
        <v>297</v>
      </c>
      <c r="I234" s="25" t="s">
        <v>301</v>
      </c>
      <c r="J234" s="27" t="s">
        <v>283</v>
      </c>
      <c r="K234" s="25" t="s">
        <v>301</v>
      </c>
      <c r="L234" s="27">
        <v>0</v>
      </c>
      <c r="M234" s="27">
        <v>1</v>
      </c>
      <c r="N234" s="27">
        <v>4</v>
      </c>
      <c r="O234" s="41" t="str">
        <f t="shared" si="16"/>
        <v/>
      </c>
      <c r="P234" s="39" t="str">
        <f t="shared" si="17"/>
        <v/>
      </c>
      <c r="Q234" s="41" t="str">
        <f t="shared" si="18"/>
        <v/>
      </c>
      <c r="R234" s="39" t="str">
        <f t="shared" si="19"/>
        <v/>
      </c>
    </row>
    <row r="235" spans="1:18" ht="16.5" customHeight="1">
      <c r="A235" s="24">
        <v>3464</v>
      </c>
      <c r="B235" s="25" t="s">
        <v>226</v>
      </c>
      <c r="C235" s="25" t="s">
        <v>1</v>
      </c>
      <c r="D235" s="26">
        <v>45581</v>
      </c>
      <c r="E235" s="34" t="str">
        <f t="shared" si="15"/>
        <v>Outubro</v>
      </c>
      <c r="F235" s="25" t="s">
        <v>300</v>
      </c>
      <c r="G235" s="28">
        <v>15</v>
      </c>
      <c r="H235" s="25" t="s">
        <v>298</v>
      </c>
      <c r="I235" s="25" t="s">
        <v>300</v>
      </c>
      <c r="J235" s="28">
        <v>30</v>
      </c>
      <c r="K235" s="25" t="s">
        <v>300</v>
      </c>
      <c r="L235" s="28">
        <v>20</v>
      </c>
      <c r="M235" s="28">
        <v>7</v>
      </c>
      <c r="N235" s="28">
        <v>58</v>
      </c>
      <c r="O235" s="41">
        <f t="shared" si="16"/>
        <v>1</v>
      </c>
      <c r="P235" s="39">
        <f t="shared" si="17"/>
        <v>30</v>
      </c>
      <c r="Q235" s="41">
        <f t="shared" si="18"/>
        <v>1</v>
      </c>
      <c r="R235" s="39">
        <f t="shared" si="19"/>
        <v>20</v>
      </c>
    </row>
    <row r="236" spans="1:18" ht="16.5" customHeight="1">
      <c r="A236" s="29">
        <v>3465</v>
      </c>
      <c r="B236" s="30" t="s">
        <v>227</v>
      </c>
      <c r="C236" s="30" t="s">
        <v>5</v>
      </c>
      <c r="D236" s="31">
        <v>45582</v>
      </c>
      <c r="E236" s="35" t="str">
        <f t="shared" si="15"/>
        <v>Outubro</v>
      </c>
      <c r="F236" s="25" t="s">
        <v>301</v>
      </c>
      <c r="G236" s="27">
        <v>10</v>
      </c>
      <c r="H236" s="30" t="s">
        <v>297</v>
      </c>
      <c r="I236" s="25" t="s">
        <v>301</v>
      </c>
      <c r="J236" s="27" t="s">
        <v>283</v>
      </c>
      <c r="K236" s="25" t="s">
        <v>300</v>
      </c>
      <c r="L236" s="27">
        <v>20</v>
      </c>
      <c r="M236" s="27">
        <v>10</v>
      </c>
      <c r="N236" s="27">
        <v>20</v>
      </c>
      <c r="O236" s="41" t="str">
        <f t="shared" si="16"/>
        <v/>
      </c>
      <c r="P236" s="39" t="str">
        <f t="shared" si="17"/>
        <v/>
      </c>
      <c r="Q236" s="41">
        <f t="shared" si="18"/>
        <v>1</v>
      </c>
      <c r="R236" s="39">
        <f t="shared" si="19"/>
        <v>20</v>
      </c>
    </row>
    <row r="237" spans="1:18" ht="16.5" customHeight="1">
      <c r="A237" s="29">
        <v>3466</v>
      </c>
      <c r="B237" s="30" t="s">
        <v>228</v>
      </c>
      <c r="C237" s="30" t="s">
        <v>3</v>
      </c>
      <c r="D237" s="31">
        <v>45583</v>
      </c>
      <c r="E237" s="35" t="str">
        <f t="shared" si="15"/>
        <v>Outubro</v>
      </c>
      <c r="F237" s="25" t="s">
        <v>300</v>
      </c>
      <c r="G237" s="27">
        <v>5</v>
      </c>
      <c r="H237" s="30" t="s">
        <v>299</v>
      </c>
      <c r="I237" s="25" t="s">
        <v>301</v>
      </c>
      <c r="J237" s="27" t="s">
        <v>283</v>
      </c>
      <c r="K237" s="25" t="s">
        <v>301</v>
      </c>
      <c r="L237" s="27">
        <v>0</v>
      </c>
      <c r="M237" s="27">
        <v>0</v>
      </c>
      <c r="N237" s="27">
        <v>5</v>
      </c>
      <c r="O237" s="41" t="str">
        <f t="shared" si="16"/>
        <v/>
      </c>
      <c r="P237" s="39" t="str">
        <f t="shared" si="17"/>
        <v/>
      </c>
      <c r="Q237" s="41" t="str">
        <f t="shared" si="18"/>
        <v/>
      </c>
      <c r="R237" s="39" t="str">
        <f t="shared" si="19"/>
        <v/>
      </c>
    </row>
    <row r="238" spans="1:18" ht="16.5" customHeight="1">
      <c r="A238" s="24">
        <v>3467</v>
      </c>
      <c r="B238" s="25" t="s">
        <v>229</v>
      </c>
      <c r="C238" s="25" t="s">
        <v>1</v>
      </c>
      <c r="D238" s="26">
        <v>45584</v>
      </c>
      <c r="E238" s="34" t="str">
        <f t="shared" si="15"/>
        <v>Outubro</v>
      </c>
      <c r="F238" s="25" t="s">
        <v>301</v>
      </c>
      <c r="G238" s="28">
        <v>15</v>
      </c>
      <c r="H238" s="25" t="s">
        <v>297</v>
      </c>
      <c r="I238" s="25" t="s">
        <v>300</v>
      </c>
      <c r="J238" s="28">
        <v>30</v>
      </c>
      <c r="K238" s="25" t="s">
        <v>300</v>
      </c>
      <c r="L238" s="28">
        <v>20</v>
      </c>
      <c r="M238" s="28">
        <v>15</v>
      </c>
      <c r="N238" s="28">
        <v>50</v>
      </c>
      <c r="O238" s="41">
        <f t="shared" si="16"/>
        <v>1</v>
      </c>
      <c r="P238" s="39">
        <f t="shared" si="17"/>
        <v>30</v>
      </c>
      <c r="Q238" s="41">
        <f t="shared" si="18"/>
        <v>1</v>
      </c>
      <c r="R238" s="39">
        <f t="shared" si="19"/>
        <v>20</v>
      </c>
    </row>
    <row r="239" spans="1:18" ht="16.5" customHeight="1">
      <c r="A239" s="29">
        <v>3468</v>
      </c>
      <c r="B239" s="30" t="s">
        <v>230</v>
      </c>
      <c r="C239" s="30" t="s">
        <v>5</v>
      </c>
      <c r="D239" s="31">
        <v>45585</v>
      </c>
      <c r="E239" s="35" t="str">
        <f t="shared" si="15"/>
        <v>Outubro</v>
      </c>
      <c r="F239" s="25" t="s">
        <v>300</v>
      </c>
      <c r="G239" s="27">
        <v>10</v>
      </c>
      <c r="H239" s="30" t="s">
        <v>298</v>
      </c>
      <c r="I239" s="25" t="s">
        <v>301</v>
      </c>
      <c r="J239" s="27" t="s">
        <v>283</v>
      </c>
      <c r="K239" s="25" t="s">
        <v>300</v>
      </c>
      <c r="L239" s="27">
        <v>20</v>
      </c>
      <c r="M239" s="27">
        <v>12</v>
      </c>
      <c r="N239" s="27">
        <v>18</v>
      </c>
      <c r="O239" s="41" t="str">
        <f t="shared" si="16"/>
        <v/>
      </c>
      <c r="P239" s="39" t="str">
        <f t="shared" si="17"/>
        <v/>
      </c>
      <c r="Q239" s="41">
        <f t="shared" si="18"/>
        <v>1</v>
      </c>
      <c r="R239" s="39">
        <f t="shared" si="19"/>
        <v>20</v>
      </c>
    </row>
    <row r="240" spans="1:18" ht="16.5" customHeight="1">
      <c r="A240" s="29">
        <v>3469</v>
      </c>
      <c r="B240" s="30" t="s">
        <v>231</v>
      </c>
      <c r="C240" s="30" t="s">
        <v>3</v>
      </c>
      <c r="D240" s="31">
        <v>45586</v>
      </c>
      <c r="E240" s="35" t="str">
        <f t="shared" si="15"/>
        <v>Outubro</v>
      </c>
      <c r="F240" s="25" t="s">
        <v>301</v>
      </c>
      <c r="G240" s="27">
        <v>5</v>
      </c>
      <c r="H240" s="30" t="s">
        <v>297</v>
      </c>
      <c r="I240" s="25" t="s">
        <v>301</v>
      </c>
      <c r="J240" s="27" t="s">
        <v>283</v>
      </c>
      <c r="K240" s="25" t="s">
        <v>301</v>
      </c>
      <c r="L240" s="27">
        <v>0</v>
      </c>
      <c r="M240" s="27">
        <v>2</v>
      </c>
      <c r="N240" s="27">
        <v>3</v>
      </c>
      <c r="O240" s="41" t="str">
        <f t="shared" si="16"/>
        <v/>
      </c>
      <c r="P240" s="39" t="str">
        <f t="shared" si="17"/>
        <v/>
      </c>
      <c r="Q240" s="41" t="str">
        <f t="shared" si="18"/>
        <v/>
      </c>
      <c r="R240" s="39" t="str">
        <f t="shared" si="19"/>
        <v/>
      </c>
    </row>
    <row r="241" spans="1:18" ht="16.5" customHeight="1">
      <c r="A241" s="24">
        <v>3470</v>
      </c>
      <c r="B241" s="25" t="s">
        <v>232</v>
      </c>
      <c r="C241" s="25" t="s">
        <v>1</v>
      </c>
      <c r="D241" s="26">
        <v>45587</v>
      </c>
      <c r="E241" s="34" t="str">
        <f t="shared" si="15"/>
        <v>Outubro</v>
      </c>
      <c r="F241" s="25" t="s">
        <v>300</v>
      </c>
      <c r="G241" s="28">
        <v>15</v>
      </c>
      <c r="H241" s="25" t="s">
        <v>299</v>
      </c>
      <c r="I241" s="25" t="s">
        <v>300</v>
      </c>
      <c r="J241" s="28">
        <v>30</v>
      </c>
      <c r="K241" s="25" t="s">
        <v>300</v>
      </c>
      <c r="L241" s="28">
        <v>20</v>
      </c>
      <c r="M241" s="28">
        <v>5</v>
      </c>
      <c r="N241" s="28">
        <v>60</v>
      </c>
      <c r="O241" s="41">
        <f t="shared" si="16"/>
        <v>1</v>
      </c>
      <c r="P241" s="39">
        <f t="shared" si="17"/>
        <v>30</v>
      </c>
      <c r="Q241" s="41">
        <f t="shared" si="18"/>
        <v>1</v>
      </c>
      <c r="R241" s="39">
        <f t="shared" si="19"/>
        <v>20</v>
      </c>
    </row>
    <row r="242" spans="1:18" ht="16.5" customHeight="1">
      <c r="A242" s="29">
        <v>3471</v>
      </c>
      <c r="B242" s="30" t="s">
        <v>233</v>
      </c>
      <c r="C242" s="30" t="s">
        <v>5</v>
      </c>
      <c r="D242" s="31">
        <v>45588</v>
      </c>
      <c r="E242" s="35" t="str">
        <f t="shared" si="15"/>
        <v>Outubro</v>
      </c>
      <c r="F242" s="25" t="s">
        <v>301</v>
      </c>
      <c r="G242" s="27">
        <v>10</v>
      </c>
      <c r="H242" s="30" t="s">
        <v>297</v>
      </c>
      <c r="I242" s="25" t="s">
        <v>301</v>
      </c>
      <c r="J242" s="27" t="s">
        <v>283</v>
      </c>
      <c r="K242" s="25" t="s">
        <v>300</v>
      </c>
      <c r="L242" s="27">
        <v>20</v>
      </c>
      <c r="M242" s="27">
        <v>10</v>
      </c>
      <c r="N242" s="27">
        <v>20</v>
      </c>
      <c r="O242" s="41" t="str">
        <f t="shared" si="16"/>
        <v/>
      </c>
      <c r="P242" s="39" t="str">
        <f t="shared" si="17"/>
        <v/>
      </c>
      <c r="Q242" s="41">
        <f t="shared" si="18"/>
        <v>1</v>
      </c>
      <c r="R242" s="39">
        <f t="shared" si="19"/>
        <v>20</v>
      </c>
    </row>
    <row r="243" spans="1:18" ht="16.5" customHeight="1">
      <c r="A243" s="29">
        <v>3472</v>
      </c>
      <c r="B243" s="30" t="s">
        <v>234</v>
      </c>
      <c r="C243" s="30" t="s">
        <v>3</v>
      </c>
      <c r="D243" s="31">
        <v>45589</v>
      </c>
      <c r="E243" s="35" t="str">
        <f t="shared" si="15"/>
        <v>Outubro</v>
      </c>
      <c r="F243" s="25" t="s">
        <v>300</v>
      </c>
      <c r="G243" s="27">
        <v>5</v>
      </c>
      <c r="H243" s="30" t="s">
        <v>298</v>
      </c>
      <c r="I243" s="25" t="s">
        <v>301</v>
      </c>
      <c r="J243" s="27" t="s">
        <v>283</v>
      </c>
      <c r="K243" s="25" t="s">
        <v>301</v>
      </c>
      <c r="L243" s="27">
        <v>0</v>
      </c>
      <c r="M243" s="27">
        <v>0</v>
      </c>
      <c r="N243" s="27">
        <v>5</v>
      </c>
      <c r="O243" s="41" t="str">
        <f t="shared" si="16"/>
        <v/>
      </c>
      <c r="P243" s="39" t="str">
        <f t="shared" si="17"/>
        <v/>
      </c>
      <c r="Q243" s="41" t="str">
        <f t="shared" si="18"/>
        <v/>
      </c>
      <c r="R243" s="39" t="str">
        <f t="shared" si="19"/>
        <v/>
      </c>
    </row>
    <row r="244" spans="1:18" ht="16.5" customHeight="1">
      <c r="A244" s="24">
        <v>3473</v>
      </c>
      <c r="B244" s="25" t="s">
        <v>143</v>
      </c>
      <c r="C244" s="25" t="s">
        <v>1</v>
      </c>
      <c r="D244" s="26">
        <v>45590</v>
      </c>
      <c r="E244" s="34" t="str">
        <f t="shared" si="15"/>
        <v>Outubro</v>
      </c>
      <c r="F244" s="25" t="s">
        <v>301</v>
      </c>
      <c r="G244" s="28">
        <v>15</v>
      </c>
      <c r="H244" s="25" t="s">
        <v>297</v>
      </c>
      <c r="I244" s="25" t="s">
        <v>300</v>
      </c>
      <c r="J244" s="28">
        <v>30</v>
      </c>
      <c r="K244" s="25" t="s">
        <v>300</v>
      </c>
      <c r="L244" s="28">
        <v>20</v>
      </c>
      <c r="M244" s="28">
        <v>3</v>
      </c>
      <c r="N244" s="28">
        <v>62</v>
      </c>
      <c r="O244" s="41">
        <f t="shared" si="16"/>
        <v>1</v>
      </c>
      <c r="P244" s="39">
        <f t="shared" si="17"/>
        <v>30</v>
      </c>
      <c r="Q244" s="41">
        <f t="shared" si="18"/>
        <v>1</v>
      </c>
      <c r="R244" s="39">
        <f t="shared" si="19"/>
        <v>20</v>
      </c>
    </row>
    <row r="245" spans="1:18" ht="16.5" customHeight="1">
      <c r="A245" s="29">
        <v>3474</v>
      </c>
      <c r="B245" s="30" t="s">
        <v>235</v>
      </c>
      <c r="C245" s="30" t="s">
        <v>5</v>
      </c>
      <c r="D245" s="31">
        <v>45591</v>
      </c>
      <c r="E245" s="35" t="str">
        <f t="shared" si="15"/>
        <v>Outubro</v>
      </c>
      <c r="F245" s="25" t="s">
        <v>300</v>
      </c>
      <c r="G245" s="27">
        <v>10</v>
      </c>
      <c r="H245" s="30" t="s">
        <v>299</v>
      </c>
      <c r="I245" s="25" t="s">
        <v>301</v>
      </c>
      <c r="J245" s="27" t="s">
        <v>283</v>
      </c>
      <c r="K245" s="25" t="s">
        <v>300</v>
      </c>
      <c r="L245" s="27">
        <v>20</v>
      </c>
      <c r="M245" s="27">
        <v>15</v>
      </c>
      <c r="N245" s="27">
        <v>15</v>
      </c>
      <c r="O245" s="41" t="str">
        <f t="shared" si="16"/>
        <v/>
      </c>
      <c r="P245" s="39" t="str">
        <f t="shared" si="17"/>
        <v/>
      </c>
      <c r="Q245" s="41">
        <f t="shared" si="18"/>
        <v>1</v>
      </c>
      <c r="R245" s="39">
        <f t="shared" si="19"/>
        <v>20</v>
      </c>
    </row>
    <row r="246" spans="1:18" ht="16.5" customHeight="1">
      <c r="A246" s="29">
        <v>3475</v>
      </c>
      <c r="B246" s="30" t="s">
        <v>236</v>
      </c>
      <c r="C246" s="30" t="s">
        <v>3</v>
      </c>
      <c r="D246" s="31">
        <v>45592</v>
      </c>
      <c r="E246" s="35" t="str">
        <f t="shared" si="15"/>
        <v>Outubro</v>
      </c>
      <c r="F246" s="25" t="s">
        <v>301</v>
      </c>
      <c r="G246" s="27">
        <v>5</v>
      </c>
      <c r="H246" s="30" t="s">
        <v>297</v>
      </c>
      <c r="I246" s="25" t="s">
        <v>301</v>
      </c>
      <c r="J246" s="27" t="s">
        <v>283</v>
      </c>
      <c r="K246" s="25" t="s">
        <v>301</v>
      </c>
      <c r="L246" s="27">
        <v>0</v>
      </c>
      <c r="M246" s="27">
        <v>1</v>
      </c>
      <c r="N246" s="27">
        <v>4</v>
      </c>
      <c r="O246" s="41" t="str">
        <f t="shared" si="16"/>
        <v/>
      </c>
      <c r="P246" s="39" t="str">
        <f t="shared" si="17"/>
        <v/>
      </c>
      <c r="Q246" s="41" t="str">
        <f t="shared" si="18"/>
        <v/>
      </c>
      <c r="R246" s="39" t="str">
        <f t="shared" si="19"/>
        <v/>
      </c>
    </row>
    <row r="247" spans="1:18" ht="16.5" customHeight="1">
      <c r="A247" s="24">
        <v>3476</v>
      </c>
      <c r="B247" s="25" t="s">
        <v>237</v>
      </c>
      <c r="C247" s="25" t="s">
        <v>1</v>
      </c>
      <c r="D247" s="26">
        <v>45593</v>
      </c>
      <c r="E247" s="34" t="str">
        <f t="shared" si="15"/>
        <v>Outubro</v>
      </c>
      <c r="F247" s="25" t="s">
        <v>300</v>
      </c>
      <c r="G247" s="28">
        <v>15</v>
      </c>
      <c r="H247" s="25" t="s">
        <v>298</v>
      </c>
      <c r="I247" s="25" t="s">
        <v>300</v>
      </c>
      <c r="J247" s="28">
        <v>30</v>
      </c>
      <c r="K247" s="25" t="s">
        <v>300</v>
      </c>
      <c r="L247" s="28">
        <v>20</v>
      </c>
      <c r="M247" s="28">
        <v>7</v>
      </c>
      <c r="N247" s="28">
        <v>58</v>
      </c>
      <c r="O247" s="41">
        <f t="shared" si="16"/>
        <v>1</v>
      </c>
      <c r="P247" s="39">
        <f t="shared" si="17"/>
        <v>30</v>
      </c>
      <c r="Q247" s="41">
        <f t="shared" si="18"/>
        <v>1</v>
      </c>
      <c r="R247" s="39">
        <f t="shared" si="19"/>
        <v>20</v>
      </c>
    </row>
    <row r="248" spans="1:18" ht="16.5" customHeight="1">
      <c r="A248" s="29">
        <v>3477</v>
      </c>
      <c r="B248" s="30" t="s">
        <v>238</v>
      </c>
      <c r="C248" s="30" t="s">
        <v>5</v>
      </c>
      <c r="D248" s="31">
        <v>45594</v>
      </c>
      <c r="E248" s="35" t="str">
        <f t="shared" si="15"/>
        <v>Outubro</v>
      </c>
      <c r="F248" s="25" t="s">
        <v>301</v>
      </c>
      <c r="G248" s="27">
        <v>10</v>
      </c>
      <c r="H248" s="30" t="s">
        <v>297</v>
      </c>
      <c r="I248" s="25" t="s">
        <v>301</v>
      </c>
      <c r="J248" s="27" t="s">
        <v>283</v>
      </c>
      <c r="K248" s="25" t="s">
        <v>300</v>
      </c>
      <c r="L248" s="27">
        <v>20</v>
      </c>
      <c r="M248" s="27">
        <v>10</v>
      </c>
      <c r="N248" s="27">
        <v>20</v>
      </c>
      <c r="O248" s="41" t="str">
        <f t="shared" si="16"/>
        <v/>
      </c>
      <c r="P248" s="39" t="str">
        <f t="shared" si="17"/>
        <v/>
      </c>
      <c r="Q248" s="41">
        <f t="shared" si="18"/>
        <v>1</v>
      </c>
      <c r="R248" s="39">
        <f t="shared" si="19"/>
        <v>20</v>
      </c>
    </row>
    <row r="249" spans="1:18" ht="16.5" customHeight="1">
      <c r="A249" s="29">
        <v>3478</v>
      </c>
      <c r="B249" s="30" t="s">
        <v>239</v>
      </c>
      <c r="C249" s="30" t="s">
        <v>3</v>
      </c>
      <c r="D249" s="31">
        <v>45595</v>
      </c>
      <c r="E249" s="35" t="str">
        <f t="shared" si="15"/>
        <v>Outubro</v>
      </c>
      <c r="F249" s="25" t="s">
        <v>300</v>
      </c>
      <c r="G249" s="27">
        <v>5</v>
      </c>
      <c r="H249" s="30" t="s">
        <v>299</v>
      </c>
      <c r="I249" s="25" t="s">
        <v>301</v>
      </c>
      <c r="J249" s="27" t="s">
        <v>283</v>
      </c>
      <c r="K249" s="25" t="s">
        <v>301</v>
      </c>
      <c r="L249" s="27">
        <v>0</v>
      </c>
      <c r="M249" s="27">
        <v>0</v>
      </c>
      <c r="N249" s="27">
        <v>5</v>
      </c>
      <c r="O249" s="41" t="str">
        <f t="shared" si="16"/>
        <v/>
      </c>
      <c r="P249" s="39" t="str">
        <f t="shared" si="17"/>
        <v/>
      </c>
      <c r="Q249" s="41" t="str">
        <f t="shared" si="18"/>
        <v/>
      </c>
      <c r="R249" s="39" t="str">
        <f t="shared" si="19"/>
        <v/>
      </c>
    </row>
    <row r="250" spans="1:18" ht="16.5" customHeight="1">
      <c r="A250" s="24">
        <v>3479</v>
      </c>
      <c r="B250" s="25" t="s">
        <v>240</v>
      </c>
      <c r="C250" s="25" t="s">
        <v>1</v>
      </c>
      <c r="D250" s="26">
        <v>45596</v>
      </c>
      <c r="E250" s="34" t="str">
        <f t="shared" si="15"/>
        <v>Outubro</v>
      </c>
      <c r="F250" s="25" t="s">
        <v>301</v>
      </c>
      <c r="G250" s="28">
        <v>15</v>
      </c>
      <c r="H250" s="25" t="s">
        <v>297</v>
      </c>
      <c r="I250" s="25" t="s">
        <v>300</v>
      </c>
      <c r="J250" s="28">
        <v>30</v>
      </c>
      <c r="K250" s="25" t="s">
        <v>300</v>
      </c>
      <c r="L250" s="28">
        <v>20</v>
      </c>
      <c r="M250" s="28">
        <v>20</v>
      </c>
      <c r="N250" s="28">
        <v>45</v>
      </c>
      <c r="O250" s="41">
        <f t="shared" si="16"/>
        <v>1</v>
      </c>
      <c r="P250" s="39">
        <f t="shared" si="17"/>
        <v>30</v>
      </c>
      <c r="Q250" s="41">
        <f t="shared" si="18"/>
        <v>1</v>
      </c>
      <c r="R250" s="39">
        <f t="shared" si="19"/>
        <v>20</v>
      </c>
    </row>
    <row r="251" spans="1:18" ht="16.5" customHeight="1">
      <c r="A251" s="29">
        <v>3480</v>
      </c>
      <c r="B251" s="30" t="s">
        <v>241</v>
      </c>
      <c r="C251" s="30" t="s">
        <v>5</v>
      </c>
      <c r="D251" s="31">
        <v>45597</v>
      </c>
      <c r="E251" s="35" t="str">
        <f t="shared" si="15"/>
        <v>Novembro</v>
      </c>
      <c r="F251" s="25" t="s">
        <v>300</v>
      </c>
      <c r="G251" s="27">
        <v>10</v>
      </c>
      <c r="H251" s="30" t="s">
        <v>298</v>
      </c>
      <c r="I251" s="25" t="s">
        <v>301</v>
      </c>
      <c r="J251" s="27" t="s">
        <v>283</v>
      </c>
      <c r="K251" s="25" t="s">
        <v>300</v>
      </c>
      <c r="L251" s="27">
        <v>20</v>
      </c>
      <c r="M251" s="27">
        <v>15</v>
      </c>
      <c r="N251" s="27">
        <v>15</v>
      </c>
      <c r="O251" s="41" t="str">
        <f t="shared" si="16"/>
        <v/>
      </c>
      <c r="P251" s="39" t="str">
        <f t="shared" si="17"/>
        <v/>
      </c>
      <c r="Q251" s="41">
        <f t="shared" si="18"/>
        <v>1</v>
      </c>
      <c r="R251" s="39">
        <f t="shared" si="19"/>
        <v>20</v>
      </c>
    </row>
    <row r="252" spans="1:18" ht="16.5" customHeight="1">
      <c r="A252" s="29">
        <v>3481</v>
      </c>
      <c r="B252" s="30" t="s">
        <v>242</v>
      </c>
      <c r="C252" s="30" t="s">
        <v>3</v>
      </c>
      <c r="D252" s="31">
        <v>45598</v>
      </c>
      <c r="E252" s="35" t="str">
        <f t="shared" si="15"/>
        <v>Novembro</v>
      </c>
      <c r="F252" s="25" t="s">
        <v>301</v>
      </c>
      <c r="G252" s="27">
        <v>5</v>
      </c>
      <c r="H252" s="30" t="s">
        <v>297</v>
      </c>
      <c r="I252" s="25" t="s">
        <v>301</v>
      </c>
      <c r="J252" s="27" t="s">
        <v>283</v>
      </c>
      <c r="K252" s="25" t="s">
        <v>301</v>
      </c>
      <c r="L252" s="27">
        <v>0</v>
      </c>
      <c r="M252" s="27">
        <v>1</v>
      </c>
      <c r="N252" s="27">
        <v>4</v>
      </c>
      <c r="O252" s="41" t="str">
        <f t="shared" si="16"/>
        <v/>
      </c>
      <c r="P252" s="39" t="str">
        <f t="shared" si="17"/>
        <v/>
      </c>
      <c r="Q252" s="41" t="str">
        <f t="shared" si="18"/>
        <v/>
      </c>
      <c r="R252" s="39" t="str">
        <f t="shared" si="19"/>
        <v/>
      </c>
    </row>
    <row r="253" spans="1:18" ht="16.5" customHeight="1">
      <c r="A253" s="24">
        <v>3482</v>
      </c>
      <c r="B253" s="25" t="s">
        <v>243</v>
      </c>
      <c r="C253" s="25" t="s">
        <v>1</v>
      </c>
      <c r="D253" s="26">
        <v>45599</v>
      </c>
      <c r="E253" s="34" t="str">
        <f t="shared" si="15"/>
        <v>Novembro</v>
      </c>
      <c r="F253" s="25" t="s">
        <v>300</v>
      </c>
      <c r="G253" s="28">
        <v>15</v>
      </c>
      <c r="H253" s="25" t="s">
        <v>299</v>
      </c>
      <c r="I253" s="25" t="s">
        <v>300</v>
      </c>
      <c r="J253" s="28">
        <v>30</v>
      </c>
      <c r="K253" s="25" t="s">
        <v>300</v>
      </c>
      <c r="L253" s="28">
        <v>20</v>
      </c>
      <c r="M253" s="28">
        <v>3</v>
      </c>
      <c r="N253" s="28">
        <v>62</v>
      </c>
      <c r="O253" s="41">
        <f t="shared" si="16"/>
        <v>1</v>
      </c>
      <c r="P253" s="39">
        <f t="shared" si="17"/>
        <v>30</v>
      </c>
      <c r="Q253" s="41">
        <f t="shared" si="18"/>
        <v>1</v>
      </c>
      <c r="R253" s="39">
        <f t="shared" si="19"/>
        <v>20</v>
      </c>
    </row>
    <row r="254" spans="1:18" ht="16.5" customHeight="1">
      <c r="A254" s="29">
        <v>3483</v>
      </c>
      <c r="B254" s="30" t="s">
        <v>244</v>
      </c>
      <c r="C254" s="30" t="s">
        <v>5</v>
      </c>
      <c r="D254" s="31">
        <v>45600</v>
      </c>
      <c r="E254" s="35" t="str">
        <f t="shared" si="15"/>
        <v>Novembro</v>
      </c>
      <c r="F254" s="25" t="s">
        <v>301</v>
      </c>
      <c r="G254" s="27">
        <v>10</v>
      </c>
      <c r="H254" s="30" t="s">
        <v>297</v>
      </c>
      <c r="I254" s="25" t="s">
        <v>301</v>
      </c>
      <c r="J254" s="27" t="s">
        <v>283</v>
      </c>
      <c r="K254" s="25" t="s">
        <v>300</v>
      </c>
      <c r="L254" s="27">
        <v>20</v>
      </c>
      <c r="M254" s="27">
        <v>10</v>
      </c>
      <c r="N254" s="27">
        <v>20</v>
      </c>
      <c r="O254" s="41" t="str">
        <f t="shared" si="16"/>
        <v/>
      </c>
      <c r="P254" s="39" t="str">
        <f t="shared" si="17"/>
        <v/>
      </c>
      <c r="Q254" s="41">
        <f t="shared" si="18"/>
        <v>1</v>
      </c>
      <c r="R254" s="39">
        <f t="shared" si="19"/>
        <v>20</v>
      </c>
    </row>
    <row r="255" spans="1:18" ht="16.5" customHeight="1">
      <c r="A255" s="29">
        <v>3484</v>
      </c>
      <c r="B255" s="30" t="s">
        <v>245</v>
      </c>
      <c r="C255" s="30" t="s">
        <v>3</v>
      </c>
      <c r="D255" s="31">
        <v>45601</v>
      </c>
      <c r="E255" s="35" t="str">
        <f t="shared" si="15"/>
        <v>Novembro</v>
      </c>
      <c r="F255" s="25" t="s">
        <v>300</v>
      </c>
      <c r="G255" s="27">
        <v>5</v>
      </c>
      <c r="H255" s="30" t="s">
        <v>298</v>
      </c>
      <c r="I255" s="25" t="s">
        <v>301</v>
      </c>
      <c r="J255" s="27" t="s">
        <v>283</v>
      </c>
      <c r="K255" s="25" t="s">
        <v>301</v>
      </c>
      <c r="L255" s="27">
        <v>0</v>
      </c>
      <c r="M255" s="27">
        <v>0</v>
      </c>
      <c r="N255" s="27">
        <v>5</v>
      </c>
      <c r="O255" s="41" t="str">
        <f t="shared" si="16"/>
        <v/>
      </c>
      <c r="P255" s="39" t="str">
        <f t="shared" si="17"/>
        <v/>
      </c>
      <c r="Q255" s="41" t="str">
        <f t="shared" si="18"/>
        <v/>
      </c>
      <c r="R255" s="39" t="str">
        <f t="shared" si="19"/>
        <v/>
      </c>
    </row>
    <row r="256" spans="1:18" ht="16.5" customHeight="1">
      <c r="A256" s="24">
        <v>3485</v>
      </c>
      <c r="B256" s="25" t="s">
        <v>246</v>
      </c>
      <c r="C256" s="25" t="s">
        <v>1</v>
      </c>
      <c r="D256" s="26">
        <v>45602</v>
      </c>
      <c r="E256" s="34" t="str">
        <f t="shared" si="15"/>
        <v>Novembro</v>
      </c>
      <c r="F256" s="25" t="s">
        <v>301</v>
      </c>
      <c r="G256" s="28">
        <v>15</v>
      </c>
      <c r="H256" s="25" t="s">
        <v>297</v>
      </c>
      <c r="I256" s="25" t="s">
        <v>300</v>
      </c>
      <c r="J256" s="28">
        <v>30</v>
      </c>
      <c r="K256" s="25" t="s">
        <v>300</v>
      </c>
      <c r="L256" s="28">
        <v>20</v>
      </c>
      <c r="M256" s="28">
        <v>15</v>
      </c>
      <c r="N256" s="28">
        <v>50</v>
      </c>
      <c r="O256" s="41">
        <f t="shared" si="16"/>
        <v>1</v>
      </c>
      <c r="P256" s="39">
        <f t="shared" si="17"/>
        <v>30</v>
      </c>
      <c r="Q256" s="41">
        <f t="shared" si="18"/>
        <v>1</v>
      </c>
      <c r="R256" s="39">
        <f t="shared" si="19"/>
        <v>20</v>
      </c>
    </row>
    <row r="257" spans="1:18" ht="16.5" customHeight="1">
      <c r="A257" s="29">
        <v>3486</v>
      </c>
      <c r="B257" s="30" t="s">
        <v>247</v>
      </c>
      <c r="C257" s="30" t="s">
        <v>3</v>
      </c>
      <c r="D257" s="31">
        <v>45603</v>
      </c>
      <c r="E257" s="35" t="str">
        <f t="shared" si="15"/>
        <v>Novembro</v>
      </c>
      <c r="F257" s="25" t="s">
        <v>300</v>
      </c>
      <c r="G257" s="27">
        <v>5</v>
      </c>
      <c r="H257" s="30" t="s">
        <v>297</v>
      </c>
      <c r="I257" s="25" t="s">
        <v>301</v>
      </c>
      <c r="J257" s="27" t="s">
        <v>283</v>
      </c>
      <c r="K257" s="25" t="s">
        <v>301</v>
      </c>
      <c r="L257" s="27">
        <v>0</v>
      </c>
      <c r="M257" s="27">
        <v>0</v>
      </c>
      <c r="N257" s="27">
        <v>5</v>
      </c>
      <c r="O257" s="41" t="str">
        <f t="shared" si="16"/>
        <v/>
      </c>
      <c r="P257" s="39" t="str">
        <f t="shared" si="17"/>
        <v/>
      </c>
      <c r="Q257" s="41" t="str">
        <f t="shared" si="18"/>
        <v/>
      </c>
      <c r="R257" s="39" t="str">
        <f t="shared" si="19"/>
        <v/>
      </c>
    </row>
    <row r="258" spans="1:18" ht="16.5" customHeight="1">
      <c r="A258" s="24">
        <v>3487</v>
      </c>
      <c r="B258" s="25" t="s">
        <v>248</v>
      </c>
      <c r="C258" s="25" t="s">
        <v>1</v>
      </c>
      <c r="D258" s="26">
        <v>45604</v>
      </c>
      <c r="E258" s="34" t="str">
        <f>PROPER(TEXT($D258,"mmmm"))</f>
        <v>Novembro</v>
      </c>
      <c r="F258" s="25" t="s">
        <v>301</v>
      </c>
      <c r="G258" s="28">
        <v>15</v>
      </c>
      <c r="H258" s="25" t="s">
        <v>298</v>
      </c>
      <c r="I258" s="25" t="s">
        <v>300</v>
      </c>
      <c r="J258" s="28">
        <v>30</v>
      </c>
      <c r="K258" s="25" t="s">
        <v>300</v>
      </c>
      <c r="L258" s="28">
        <v>20</v>
      </c>
      <c r="M258" s="28">
        <v>7</v>
      </c>
      <c r="N258" s="28">
        <v>58</v>
      </c>
      <c r="O258" s="41">
        <f t="shared" ref="O258:O296" si="20">IF($I258="Sim",1,"")</f>
        <v>1</v>
      </c>
      <c r="P258" s="39">
        <f t="shared" ref="P258:P296" si="21">IF($I258="Sim",$J258,"")</f>
        <v>30</v>
      </c>
      <c r="Q258" s="41">
        <f t="shared" ref="Q258:Q296" si="22">IF($K258="Sim",1,"")</f>
        <v>1</v>
      </c>
      <c r="R258" s="39">
        <f t="shared" ref="R258:R296" si="23">IF($K258="Sim",$L258,"")</f>
        <v>20</v>
      </c>
    </row>
    <row r="259" spans="1:18" ht="16.5" customHeight="1">
      <c r="A259" s="29">
        <v>3488</v>
      </c>
      <c r="B259" s="30" t="s">
        <v>249</v>
      </c>
      <c r="C259" s="30" t="s">
        <v>5</v>
      </c>
      <c r="D259" s="31">
        <v>45605</v>
      </c>
      <c r="E259" s="35" t="str">
        <f t="shared" ref="E259:E296" si="24">PROPER(TEXT($D259,"mmmm"))</f>
        <v>Novembro</v>
      </c>
      <c r="F259" s="25" t="s">
        <v>300</v>
      </c>
      <c r="G259" s="27">
        <v>10</v>
      </c>
      <c r="H259" s="30" t="s">
        <v>299</v>
      </c>
      <c r="I259" s="25" t="s">
        <v>301</v>
      </c>
      <c r="J259" s="27" t="s">
        <v>283</v>
      </c>
      <c r="K259" s="25" t="s">
        <v>300</v>
      </c>
      <c r="L259" s="27">
        <v>20</v>
      </c>
      <c r="M259" s="27">
        <v>10</v>
      </c>
      <c r="N259" s="27">
        <v>20</v>
      </c>
      <c r="O259" s="41" t="str">
        <f t="shared" si="20"/>
        <v/>
      </c>
      <c r="P259" s="39" t="str">
        <f t="shared" si="21"/>
        <v/>
      </c>
      <c r="Q259" s="41">
        <f t="shared" si="22"/>
        <v>1</v>
      </c>
      <c r="R259" s="39">
        <f t="shared" si="23"/>
        <v>20</v>
      </c>
    </row>
    <row r="260" spans="1:18" ht="16.5" customHeight="1">
      <c r="A260" s="29">
        <v>3489</v>
      </c>
      <c r="B260" s="30" t="s">
        <v>250</v>
      </c>
      <c r="C260" s="30" t="s">
        <v>3</v>
      </c>
      <c r="D260" s="31">
        <v>45606</v>
      </c>
      <c r="E260" s="35" t="str">
        <f t="shared" si="24"/>
        <v>Novembro</v>
      </c>
      <c r="F260" s="25" t="s">
        <v>301</v>
      </c>
      <c r="G260" s="27">
        <v>5</v>
      </c>
      <c r="H260" s="30" t="s">
        <v>298</v>
      </c>
      <c r="I260" s="25" t="s">
        <v>301</v>
      </c>
      <c r="J260" s="27" t="s">
        <v>283</v>
      </c>
      <c r="K260" s="25" t="s">
        <v>301</v>
      </c>
      <c r="L260" s="27">
        <v>0</v>
      </c>
      <c r="M260" s="27">
        <v>1</v>
      </c>
      <c r="N260" s="27">
        <v>4</v>
      </c>
      <c r="O260" s="41" t="str">
        <f t="shared" si="20"/>
        <v/>
      </c>
      <c r="P260" s="39" t="str">
        <f t="shared" si="21"/>
        <v/>
      </c>
      <c r="Q260" s="41" t="str">
        <f t="shared" si="22"/>
        <v/>
      </c>
      <c r="R260" s="39" t="str">
        <f t="shared" si="23"/>
        <v/>
      </c>
    </row>
    <row r="261" spans="1:18" ht="16.5" customHeight="1">
      <c r="A261" s="24">
        <v>3490</v>
      </c>
      <c r="B261" s="25" t="s">
        <v>251</v>
      </c>
      <c r="C261" s="25" t="s">
        <v>1</v>
      </c>
      <c r="D261" s="26">
        <v>45607</v>
      </c>
      <c r="E261" s="34" t="str">
        <f t="shared" si="24"/>
        <v>Novembro</v>
      </c>
      <c r="F261" s="25" t="s">
        <v>300</v>
      </c>
      <c r="G261" s="28">
        <v>15</v>
      </c>
      <c r="H261" s="25" t="s">
        <v>297</v>
      </c>
      <c r="I261" s="25" t="s">
        <v>300</v>
      </c>
      <c r="J261" s="28">
        <v>30</v>
      </c>
      <c r="K261" s="25" t="s">
        <v>300</v>
      </c>
      <c r="L261" s="28">
        <v>20</v>
      </c>
      <c r="M261" s="28">
        <v>15</v>
      </c>
      <c r="N261" s="28">
        <v>50</v>
      </c>
      <c r="O261" s="41">
        <f t="shared" si="20"/>
        <v>1</v>
      </c>
      <c r="P261" s="39">
        <f t="shared" si="21"/>
        <v>30</v>
      </c>
      <c r="Q261" s="41">
        <f t="shared" si="22"/>
        <v>1</v>
      </c>
      <c r="R261" s="39">
        <f t="shared" si="23"/>
        <v>20</v>
      </c>
    </row>
    <row r="262" spans="1:18" ht="16.5" customHeight="1">
      <c r="A262" s="29">
        <v>3491</v>
      </c>
      <c r="B262" s="30" t="s">
        <v>252</v>
      </c>
      <c r="C262" s="30" t="s">
        <v>5</v>
      </c>
      <c r="D262" s="31">
        <v>45608</v>
      </c>
      <c r="E262" s="35" t="str">
        <f t="shared" si="24"/>
        <v>Novembro</v>
      </c>
      <c r="F262" s="25" t="s">
        <v>301</v>
      </c>
      <c r="G262" s="27">
        <v>10</v>
      </c>
      <c r="H262" s="30" t="s">
        <v>297</v>
      </c>
      <c r="I262" s="25" t="s">
        <v>301</v>
      </c>
      <c r="J262" s="27" t="s">
        <v>283</v>
      </c>
      <c r="K262" s="25" t="s">
        <v>300</v>
      </c>
      <c r="L262" s="27">
        <v>20</v>
      </c>
      <c r="M262" s="27">
        <v>5</v>
      </c>
      <c r="N262" s="27">
        <v>25</v>
      </c>
      <c r="O262" s="41" t="str">
        <f t="shared" si="20"/>
        <v/>
      </c>
      <c r="P262" s="39" t="str">
        <f t="shared" si="21"/>
        <v/>
      </c>
      <c r="Q262" s="41">
        <f t="shared" si="22"/>
        <v>1</v>
      </c>
      <c r="R262" s="39">
        <f t="shared" si="23"/>
        <v>20</v>
      </c>
    </row>
    <row r="263" spans="1:18" ht="16.5" customHeight="1">
      <c r="A263" s="29">
        <v>3492</v>
      </c>
      <c r="B263" s="30" t="s">
        <v>253</v>
      </c>
      <c r="C263" s="30" t="s">
        <v>3</v>
      </c>
      <c r="D263" s="31">
        <v>45609</v>
      </c>
      <c r="E263" s="35" t="str">
        <f t="shared" si="24"/>
        <v>Novembro</v>
      </c>
      <c r="F263" s="25" t="s">
        <v>300</v>
      </c>
      <c r="G263" s="27">
        <v>5</v>
      </c>
      <c r="H263" s="30" t="s">
        <v>299</v>
      </c>
      <c r="I263" s="25" t="s">
        <v>301</v>
      </c>
      <c r="J263" s="27" t="s">
        <v>283</v>
      </c>
      <c r="K263" s="25" t="s">
        <v>301</v>
      </c>
      <c r="L263" s="27">
        <v>0</v>
      </c>
      <c r="M263" s="27">
        <v>0</v>
      </c>
      <c r="N263" s="27">
        <v>5</v>
      </c>
      <c r="O263" s="41" t="str">
        <f t="shared" si="20"/>
        <v/>
      </c>
      <c r="P263" s="39" t="str">
        <f t="shared" si="21"/>
        <v/>
      </c>
      <c r="Q263" s="41" t="str">
        <f t="shared" si="22"/>
        <v/>
      </c>
      <c r="R263" s="39" t="str">
        <f t="shared" si="23"/>
        <v/>
      </c>
    </row>
    <row r="264" spans="1:18" ht="16.5" customHeight="1">
      <c r="A264" s="24">
        <v>3493</v>
      </c>
      <c r="B264" s="25" t="s">
        <v>254</v>
      </c>
      <c r="C264" s="25" t="s">
        <v>1</v>
      </c>
      <c r="D264" s="26">
        <v>45610</v>
      </c>
      <c r="E264" s="34" t="str">
        <f t="shared" si="24"/>
        <v>Novembro</v>
      </c>
      <c r="F264" s="25" t="s">
        <v>301</v>
      </c>
      <c r="G264" s="28">
        <v>15</v>
      </c>
      <c r="H264" s="25" t="s">
        <v>298</v>
      </c>
      <c r="I264" s="25" t="s">
        <v>300</v>
      </c>
      <c r="J264" s="28">
        <v>30</v>
      </c>
      <c r="K264" s="25" t="s">
        <v>300</v>
      </c>
      <c r="L264" s="28">
        <v>20</v>
      </c>
      <c r="M264" s="28">
        <v>20</v>
      </c>
      <c r="N264" s="28">
        <v>45</v>
      </c>
      <c r="O264" s="41">
        <f t="shared" si="20"/>
        <v>1</v>
      </c>
      <c r="P264" s="39">
        <f t="shared" si="21"/>
        <v>30</v>
      </c>
      <c r="Q264" s="41">
        <f t="shared" si="22"/>
        <v>1</v>
      </c>
      <c r="R264" s="39">
        <f t="shared" si="23"/>
        <v>20</v>
      </c>
    </row>
    <row r="265" spans="1:18" ht="16.5" customHeight="1">
      <c r="A265" s="29">
        <v>3494</v>
      </c>
      <c r="B265" s="30" t="s">
        <v>255</v>
      </c>
      <c r="C265" s="30" t="s">
        <v>5</v>
      </c>
      <c r="D265" s="31">
        <v>45611</v>
      </c>
      <c r="E265" s="35" t="str">
        <f t="shared" si="24"/>
        <v>Novembro</v>
      </c>
      <c r="F265" s="25" t="s">
        <v>300</v>
      </c>
      <c r="G265" s="27">
        <v>10</v>
      </c>
      <c r="H265" s="30" t="s">
        <v>298</v>
      </c>
      <c r="I265" s="25" t="s">
        <v>301</v>
      </c>
      <c r="J265" s="27" t="s">
        <v>283</v>
      </c>
      <c r="K265" s="25" t="s">
        <v>300</v>
      </c>
      <c r="L265" s="27">
        <v>20</v>
      </c>
      <c r="M265" s="27">
        <v>12</v>
      </c>
      <c r="N265" s="27">
        <v>18</v>
      </c>
      <c r="O265" s="41" t="str">
        <f t="shared" si="20"/>
        <v/>
      </c>
      <c r="P265" s="39" t="str">
        <f t="shared" si="21"/>
        <v/>
      </c>
      <c r="Q265" s="41">
        <f t="shared" si="22"/>
        <v>1</v>
      </c>
      <c r="R265" s="39">
        <f t="shared" si="23"/>
        <v>20</v>
      </c>
    </row>
    <row r="266" spans="1:18" ht="16.5" customHeight="1">
      <c r="A266" s="29">
        <v>3495</v>
      </c>
      <c r="B266" s="30" t="s">
        <v>256</v>
      </c>
      <c r="C266" s="30" t="s">
        <v>3</v>
      </c>
      <c r="D266" s="31">
        <v>45612</v>
      </c>
      <c r="E266" s="35" t="str">
        <f t="shared" si="24"/>
        <v>Novembro</v>
      </c>
      <c r="F266" s="25" t="s">
        <v>301</v>
      </c>
      <c r="G266" s="27">
        <v>5</v>
      </c>
      <c r="H266" s="30" t="s">
        <v>297</v>
      </c>
      <c r="I266" s="25" t="s">
        <v>301</v>
      </c>
      <c r="J266" s="27" t="s">
        <v>283</v>
      </c>
      <c r="K266" s="25" t="s">
        <v>301</v>
      </c>
      <c r="L266" s="27">
        <v>0</v>
      </c>
      <c r="M266" s="27">
        <v>2</v>
      </c>
      <c r="N266" s="27">
        <v>3</v>
      </c>
      <c r="O266" s="41" t="str">
        <f t="shared" si="20"/>
        <v/>
      </c>
      <c r="P266" s="39" t="str">
        <f t="shared" si="21"/>
        <v/>
      </c>
      <c r="Q266" s="41" t="str">
        <f t="shared" si="22"/>
        <v/>
      </c>
      <c r="R266" s="39" t="str">
        <f t="shared" si="23"/>
        <v/>
      </c>
    </row>
    <row r="267" spans="1:18" ht="16.5" customHeight="1">
      <c r="A267" s="24">
        <v>3496</v>
      </c>
      <c r="B267" s="25" t="s">
        <v>257</v>
      </c>
      <c r="C267" s="25" t="s">
        <v>1</v>
      </c>
      <c r="D267" s="26">
        <v>45613</v>
      </c>
      <c r="E267" s="34" t="str">
        <f t="shared" si="24"/>
        <v>Novembro</v>
      </c>
      <c r="F267" s="25" t="s">
        <v>300</v>
      </c>
      <c r="G267" s="28">
        <v>15</v>
      </c>
      <c r="H267" s="25" t="s">
        <v>299</v>
      </c>
      <c r="I267" s="25" t="s">
        <v>300</v>
      </c>
      <c r="J267" s="28">
        <v>30</v>
      </c>
      <c r="K267" s="25" t="s">
        <v>300</v>
      </c>
      <c r="L267" s="28">
        <v>20</v>
      </c>
      <c r="M267" s="28">
        <v>5</v>
      </c>
      <c r="N267" s="28">
        <v>60</v>
      </c>
      <c r="O267" s="41">
        <f t="shared" si="20"/>
        <v>1</v>
      </c>
      <c r="P267" s="39">
        <f t="shared" si="21"/>
        <v>30</v>
      </c>
      <c r="Q267" s="41">
        <f t="shared" si="22"/>
        <v>1</v>
      </c>
      <c r="R267" s="39">
        <f t="shared" si="23"/>
        <v>20</v>
      </c>
    </row>
    <row r="268" spans="1:18" ht="16.5" customHeight="1">
      <c r="A268" s="29">
        <v>3497</v>
      </c>
      <c r="B268" s="30" t="s">
        <v>258</v>
      </c>
      <c r="C268" s="30" t="s">
        <v>5</v>
      </c>
      <c r="D268" s="31">
        <v>45614</v>
      </c>
      <c r="E268" s="35" t="str">
        <f t="shared" si="24"/>
        <v>Novembro</v>
      </c>
      <c r="F268" s="25" t="s">
        <v>301</v>
      </c>
      <c r="G268" s="27">
        <v>10</v>
      </c>
      <c r="H268" s="30" t="s">
        <v>297</v>
      </c>
      <c r="I268" s="25" t="s">
        <v>301</v>
      </c>
      <c r="J268" s="27" t="s">
        <v>283</v>
      </c>
      <c r="K268" s="25" t="s">
        <v>300</v>
      </c>
      <c r="L268" s="27">
        <v>20</v>
      </c>
      <c r="M268" s="27">
        <v>10</v>
      </c>
      <c r="N268" s="27">
        <v>20</v>
      </c>
      <c r="O268" s="41" t="str">
        <f t="shared" si="20"/>
        <v/>
      </c>
      <c r="P268" s="39" t="str">
        <f t="shared" si="21"/>
        <v/>
      </c>
      <c r="Q268" s="41">
        <f t="shared" si="22"/>
        <v>1</v>
      </c>
      <c r="R268" s="39">
        <f t="shared" si="23"/>
        <v>20</v>
      </c>
    </row>
    <row r="269" spans="1:18" ht="16.5" customHeight="1">
      <c r="A269" s="29">
        <v>3498</v>
      </c>
      <c r="B269" s="30" t="s">
        <v>259</v>
      </c>
      <c r="C269" s="30" t="s">
        <v>3</v>
      </c>
      <c r="D269" s="31">
        <v>45615</v>
      </c>
      <c r="E269" s="35" t="str">
        <f t="shared" si="24"/>
        <v>Novembro</v>
      </c>
      <c r="F269" s="25" t="s">
        <v>300</v>
      </c>
      <c r="G269" s="27">
        <v>5</v>
      </c>
      <c r="H269" s="30" t="s">
        <v>298</v>
      </c>
      <c r="I269" s="25" t="s">
        <v>301</v>
      </c>
      <c r="J269" s="27" t="s">
        <v>283</v>
      </c>
      <c r="K269" s="25" t="s">
        <v>301</v>
      </c>
      <c r="L269" s="27">
        <v>0</v>
      </c>
      <c r="M269" s="27">
        <v>0</v>
      </c>
      <c r="N269" s="27">
        <v>5</v>
      </c>
      <c r="O269" s="41" t="str">
        <f t="shared" si="20"/>
        <v/>
      </c>
      <c r="P269" s="39" t="str">
        <f t="shared" si="21"/>
        <v/>
      </c>
      <c r="Q269" s="41" t="str">
        <f t="shared" si="22"/>
        <v/>
      </c>
      <c r="R269" s="39" t="str">
        <f t="shared" si="23"/>
        <v/>
      </c>
    </row>
    <row r="270" spans="1:18" ht="16.5" customHeight="1">
      <c r="A270" s="24">
        <v>3499</v>
      </c>
      <c r="B270" s="25" t="s">
        <v>260</v>
      </c>
      <c r="C270" s="25" t="s">
        <v>1</v>
      </c>
      <c r="D270" s="26">
        <v>45616</v>
      </c>
      <c r="E270" s="34" t="str">
        <f t="shared" si="24"/>
        <v>Novembro</v>
      </c>
      <c r="F270" s="25" t="s">
        <v>301</v>
      </c>
      <c r="G270" s="28">
        <v>15</v>
      </c>
      <c r="H270" s="25" t="s">
        <v>297</v>
      </c>
      <c r="I270" s="25" t="s">
        <v>300</v>
      </c>
      <c r="J270" s="28">
        <v>30</v>
      </c>
      <c r="K270" s="25" t="s">
        <v>300</v>
      </c>
      <c r="L270" s="28">
        <v>20</v>
      </c>
      <c r="M270" s="28">
        <v>3</v>
      </c>
      <c r="N270" s="28">
        <v>62</v>
      </c>
      <c r="O270" s="41">
        <f t="shared" si="20"/>
        <v>1</v>
      </c>
      <c r="P270" s="39">
        <f t="shared" si="21"/>
        <v>30</v>
      </c>
      <c r="Q270" s="41">
        <f t="shared" si="22"/>
        <v>1</v>
      </c>
      <c r="R270" s="39">
        <f t="shared" si="23"/>
        <v>20</v>
      </c>
    </row>
    <row r="271" spans="1:18" ht="16.5" customHeight="1">
      <c r="A271" s="29">
        <v>3500</v>
      </c>
      <c r="B271" s="30" t="s">
        <v>261</v>
      </c>
      <c r="C271" s="30" t="s">
        <v>5</v>
      </c>
      <c r="D271" s="31">
        <v>45617</v>
      </c>
      <c r="E271" s="35" t="str">
        <f t="shared" si="24"/>
        <v>Novembro</v>
      </c>
      <c r="F271" s="25" t="s">
        <v>300</v>
      </c>
      <c r="G271" s="27">
        <v>10</v>
      </c>
      <c r="H271" s="30" t="s">
        <v>299</v>
      </c>
      <c r="I271" s="25" t="s">
        <v>301</v>
      </c>
      <c r="J271" s="27" t="s">
        <v>283</v>
      </c>
      <c r="K271" s="25" t="s">
        <v>300</v>
      </c>
      <c r="L271" s="27">
        <v>20</v>
      </c>
      <c r="M271" s="27">
        <v>15</v>
      </c>
      <c r="N271" s="27">
        <v>15</v>
      </c>
      <c r="O271" s="41" t="str">
        <f t="shared" si="20"/>
        <v/>
      </c>
      <c r="P271" s="39" t="str">
        <f t="shared" si="21"/>
        <v/>
      </c>
      <c r="Q271" s="41">
        <f t="shared" si="22"/>
        <v>1</v>
      </c>
      <c r="R271" s="39">
        <f t="shared" si="23"/>
        <v>20</v>
      </c>
    </row>
    <row r="272" spans="1:18" ht="16.5" customHeight="1">
      <c r="A272" s="29">
        <v>3501</v>
      </c>
      <c r="B272" s="30" t="s">
        <v>262</v>
      </c>
      <c r="C272" s="30" t="s">
        <v>3</v>
      </c>
      <c r="D272" s="31">
        <v>45618</v>
      </c>
      <c r="E272" s="35" t="str">
        <f t="shared" si="24"/>
        <v>Novembro</v>
      </c>
      <c r="F272" s="25" t="s">
        <v>301</v>
      </c>
      <c r="G272" s="27">
        <v>5</v>
      </c>
      <c r="H272" s="30" t="s">
        <v>297</v>
      </c>
      <c r="I272" s="25" t="s">
        <v>301</v>
      </c>
      <c r="J272" s="27" t="s">
        <v>283</v>
      </c>
      <c r="K272" s="25" t="s">
        <v>301</v>
      </c>
      <c r="L272" s="27">
        <v>0</v>
      </c>
      <c r="M272" s="27">
        <v>1</v>
      </c>
      <c r="N272" s="27">
        <v>4</v>
      </c>
      <c r="O272" s="41" t="str">
        <f t="shared" si="20"/>
        <v/>
      </c>
      <c r="P272" s="39" t="str">
        <f t="shared" si="21"/>
        <v/>
      </c>
      <c r="Q272" s="41" t="str">
        <f t="shared" si="22"/>
        <v/>
      </c>
      <c r="R272" s="39" t="str">
        <f t="shared" si="23"/>
        <v/>
      </c>
    </row>
    <row r="273" spans="1:18" ht="16.5" customHeight="1">
      <c r="A273" s="24">
        <v>3502</v>
      </c>
      <c r="B273" s="25" t="s">
        <v>263</v>
      </c>
      <c r="C273" s="25" t="s">
        <v>1</v>
      </c>
      <c r="D273" s="26">
        <v>45619</v>
      </c>
      <c r="E273" s="34" t="str">
        <f t="shared" si="24"/>
        <v>Novembro</v>
      </c>
      <c r="F273" s="25" t="s">
        <v>300</v>
      </c>
      <c r="G273" s="28">
        <v>15</v>
      </c>
      <c r="H273" s="25" t="s">
        <v>298</v>
      </c>
      <c r="I273" s="25" t="s">
        <v>300</v>
      </c>
      <c r="J273" s="28">
        <v>30</v>
      </c>
      <c r="K273" s="25" t="s">
        <v>300</v>
      </c>
      <c r="L273" s="28">
        <v>20</v>
      </c>
      <c r="M273" s="28">
        <v>7</v>
      </c>
      <c r="N273" s="28">
        <v>58</v>
      </c>
      <c r="O273" s="41">
        <f t="shared" si="20"/>
        <v>1</v>
      </c>
      <c r="P273" s="39">
        <f t="shared" si="21"/>
        <v>30</v>
      </c>
      <c r="Q273" s="41">
        <f t="shared" si="22"/>
        <v>1</v>
      </c>
      <c r="R273" s="39">
        <f t="shared" si="23"/>
        <v>20</v>
      </c>
    </row>
    <row r="274" spans="1:18" ht="16.5" customHeight="1">
      <c r="A274" s="29">
        <v>3503</v>
      </c>
      <c r="B274" s="30" t="s">
        <v>122</v>
      </c>
      <c r="C274" s="30" t="s">
        <v>5</v>
      </c>
      <c r="D274" s="31">
        <v>45620</v>
      </c>
      <c r="E274" s="35" t="str">
        <f t="shared" si="24"/>
        <v>Novembro</v>
      </c>
      <c r="F274" s="25" t="s">
        <v>301</v>
      </c>
      <c r="G274" s="27">
        <v>10</v>
      </c>
      <c r="H274" s="30" t="s">
        <v>297</v>
      </c>
      <c r="I274" s="25" t="s">
        <v>301</v>
      </c>
      <c r="J274" s="27" t="s">
        <v>283</v>
      </c>
      <c r="K274" s="25" t="s">
        <v>300</v>
      </c>
      <c r="L274" s="27">
        <v>20</v>
      </c>
      <c r="M274" s="27">
        <v>10</v>
      </c>
      <c r="N274" s="27">
        <v>20</v>
      </c>
      <c r="O274" s="41" t="str">
        <f t="shared" si="20"/>
        <v/>
      </c>
      <c r="P274" s="39" t="str">
        <f t="shared" si="21"/>
        <v/>
      </c>
      <c r="Q274" s="41">
        <f t="shared" si="22"/>
        <v>1</v>
      </c>
      <c r="R274" s="39">
        <f t="shared" si="23"/>
        <v>20</v>
      </c>
    </row>
    <row r="275" spans="1:18" ht="16.5" customHeight="1">
      <c r="A275" s="29">
        <v>3504</v>
      </c>
      <c r="B275" s="30" t="s">
        <v>264</v>
      </c>
      <c r="C275" s="30" t="s">
        <v>3</v>
      </c>
      <c r="D275" s="31">
        <v>45621</v>
      </c>
      <c r="E275" s="35" t="str">
        <f t="shared" si="24"/>
        <v>Novembro</v>
      </c>
      <c r="F275" s="25" t="s">
        <v>300</v>
      </c>
      <c r="G275" s="27">
        <v>5</v>
      </c>
      <c r="H275" s="30" t="s">
        <v>299</v>
      </c>
      <c r="I275" s="25" t="s">
        <v>301</v>
      </c>
      <c r="J275" s="27" t="s">
        <v>283</v>
      </c>
      <c r="K275" s="25" t="s">
        <v>301</v>
      </c>
      <c r="L275" s="27">
        <v>0</v>
      </c>
      <c r="M275" s="27">
        <v>0</v>
      </c>
      <c r="N275" s="27">
        <v>5</v>
      </c>
      <c r="O275" s="41" t="str">
        <f t="shared" si="20"/>
        <v/>
      </c>
      <c r="P275" s="39" t="str">
        <f t="shared" si="21"/>
        <v/>
      </c>
      <c r="Q275" s="41" t="str">
        <f t="shared" si="22"/>
        <v/>
      </c>
      <c r="R275" s="39" t="str">
        <f t="shared" si="23"/>
        <v/>
      </c>
    </row>
    <row r="276" spans="1:18" ht="16.5" customHeight="1">
      <c r="A276" s="24">
        <v>3505</v>
      </c>
      <c r="B276" s="25" t="s">
        <v>265</v>
      </c>
      <c r="C276" s="25" t="s">
        <v>1</v>
      </c>
      <c r="D276" s="26">
        <v>45622</v>
      </c>
      <c r="E276" s="34" t="str">
        <f t="shared" si="24"/>
        <v>Novembro</v>
      </c>
      <c r="F276" s="25" t="s">
        <v>301</v>
      </c>
      <c r="G276" s="28">
        <v>15</v>
      </c>
      <c r="H276" s="25" t="s">
        <v>297</v>
      </c>
      <c r="I276" s="25" t="s">
        <v>300</v>
      </c>
      <c r="J276" s="28">
        <v>30</v>
      </c>
      <c r="K276" s="25" t="s">
        <v>300</v>
      </c>
      <c r="L276" s="28">
        <v>20</v>
      </c>
      <c r="M276" s="28">
        <v>20</v>
      </c>
      <c r="N276" s="28">
        <v>45</v>
      </c>
      <c r="O276" s="41">
        <f t="shared" si="20"/>
        <v>1</v>
      </c>
      <c r="P276" s="39">
        <f t="shared" si="21"/>
        <v>30</v>
      </c>
      <c r="Q276" s="41">
        <f t="shared" si="22"/>
        <v>1</v>
      </c>
      <c r="R276" s="39">
        <f t="shared" si="23"/>
        <v>20</v>
      </c>
    </row>
    <row r="277" spans="1:18" ht="16.5" customHeight="1">
      <c r="A277" s="29">
        <v>3506</v>
      </c>
      <c r="B277" s="30" t="s">
        <v>266</v>
      </c>
      <c r="C277" s="30" t="s">
        <v>5</v>
      </c>
      <c r="D277" s="31">
        <v>45623</v>
      </c>
      <c r="E277" s="35" t="str">
        <f t="shared" si="24"/>
        <v>Novembro</v>
      </c>
      <c r="F277" s="25" t="s">
        <v>300</v>
      </c>
      <c r="G277" s="27">
        <v>10</v>
      </c>
      <c r="H277" s="30" t="s">
        <v>298</v>
      </c>
      <c r="I277" s="25" t="s">
        <v>301</v>
      </c>
      <c r="J277" s="27" t="s">
        <v>283</v>
      </c>
      <c r="K277" s="25" t="s">
        <v>300</v>
      </c>
      <c r="L277" s="27">
        <v>20</v>
      </c>
      <c r="M277" s="27">
        <v>15</v>
      </c>
      <c r="N277" s="27">
        <v>15</v>
      </c>
      <c r="O277" s="41" t="str">
        <f t="shared" si="20"/>
        <v/>
      </c>
      <c r="P277" s="39" t="str">
        <f t="shared" si="21"/>
        <v/>
      </c>
      <c r="Q277" s="41">
        <f t="shared" si="22"/>
        <v>1</v>
      </c>
      <c r="R277" s="39">
        <f t="shared" si="23"/>
        <v>20</v>
      </c>
    </row>
    <row r="278" spans="1:18" ht="16.5" customHeight="1">
      <c r="A278" s="29">
        <v>3507</v>
      </c>
      <c r="B278" s="30" t="s">
        <v>267</v>
      </c>
      <c r="C278" s="30" t="s">
        <v>3</v>
      </c>
      <c r="D278" s="31">
        <v>45624</v>
      </c>
      <c r="E278" s="35" t="str">
        <f t="shared" si="24"/>
        <v>Novembro</v>
      </c>
      <c r="F278" s="25" t="s">
        <v>301</v>
      </c>
      <c r="G278" s="27">
        <v>5</v>
      </c>
      <c r="H278" s="30" t="s">
        <v>297</v>
      </c>
      <c r="I278" s="25" t="s">
        <v>301</v>
      </c>
      <c r="J278" s="27" t="s">
        <v>283</v>
      </c>
      <c r="K278" s="25" t="s">
        <v>301</v>
      </c>
      <c r="L278" s="27">
        <v>0</v>
      </c>
      <c r="M278" s="27">
        <v>1</v>
      </c>
      <c r="N278" s="27">
        <v>4</v>
      </c>
      <c r="O278" s="41" t="str">
        <f t="shared" si="20"/>
        <v/>
      </c>
      <c r="P278" s="39" t="str">
        <f t="shared" si="21"/>
        <v/>
      </c>
      <c r="Q278" s="41" t="str">
        <f t="shared" si="22"/>
        <v/>
      </c>
      <c r="R278" s="39" t="str">
        <f t="shared" si="23"/>
        <v/>
      </c>
    </row>
    <row r="279" spans="1:18" ht="16.5" customHeight="1">
      <c r="A279" s="24">
        <v>3508</v>
      </c>
      <c r="B279" s="25" t="s">
        <v>268</v>
      </c>
      <c r="C279" s="25" t="s">
        <v>1</v>
      </c>
      <c r="D279" s="26">
        <v>45625</v>
      </c>
      <c r="E279" s="34" t="str">
        <f t="shared" si="24"/>
        <v>Novembro</v>
      </c>
      <c r="F279" s="25" t="s">
        <v>300</v>
      </c>
      <c r="G279" s="28">
        <v>15</v>
      </c>
      <c r="H279" s="25" t="s">
        <v>299</v>
      </c>
      <c r="I279" s="25" t="s">
        <v>300</v>
      </c>
      <c r="J279" s="28">
        <v>30</v>
      </c>
      <c r="K279" s="25" t="s">
        <v>300</v>
      </c>
      <c r="L279" s="28">
        <v>20</v>
      </c>
      <c r="M279" s="28">
        <v>3</v>
      </c>
      <c r="N279" s="28">
        <v>62</v>
      </c>
      <c r="O279" s="41">
        <f t="shared" si="20"/>
        <v>1</v>
      </c>
      <c r="P279" s="39">
        <f t="shared" si="21"/>
        <v>30</v>
      </c>
      <c r="Q279" s="41">
        <f t="shared" si="22"/>
        <v>1</v>
      </c>
      <c r="R279" s="39">
        <f t="shared" si="23"/>
        <v>20</v>
      </c>
    </row>
    <row r="280" spans="1:18" ht="16.5" customHeight="1">
      <c r="A280" s="29">
        <v>3509</v>
      </c>
      <c r="B280" s="30" t="s">
        <v>269</v>
      </c>
      <c r="C280" s="30" t="s">
        <v>5</v>
      </c>
      <c r="D280" s="31">
        <v>45626</v>
      </c>
      <c r="E280" s="35" t="str">
        <f t="shared" si="24"/>
        <v>Novembro</v>
      </c>
      <c r="F280" s="25" t="s">
        <v>301</v>
      </c>
      <c r="G280" s="27">
        <v>10</v>
      </c>
      <c r="H280" s="30" t="s">
        <v>297</v>
      </c>
      <c r="I280" s="25" t="s">
        <v>301</v>
      </c>
      <c r="J280" s="27" t="s">
        <v>283</v>
      </c>
      <c r="K280" s="25" t="s">
        <v>300</v>
      </c>
      <c r="L280" s="27">
        <v>20</v>
      </c>
      <c r="M280" s="27">
        <v>10</v>
      </c>
      <c r="N280" s="27">
        <v>20</v>
      </c>
      <c r="O280" s="41" t="str">
        <f t="shared" si="20"/>
        <v/>
      </c>
      <c r="P280" s="39" t="str">
        <f t="shared" si="21"/>
        <v/>
      </c>
      <c r="Q280" s="41">
        <f t="shared" si="22"/>
        <v>1</v>
      </c>
      <c r="R280" s="39">
        <f t="shared" si="23"/>
        <v>20</v>
      </c>
    </row>
    <row r="281" spans="1:18" ht="16.5" customHeight="1">
      <c r="A281" s="29">
        <v>3510</v>
      </c>
      <c r="B281" s="30" t="s">
        <v>270</v>
      </c>
      <c r="C281" s="30" t="s">
        <v>3</v>
      </c>
      <c r="D281" s="31">
        <v>45627</v>
      </c>
      <c r="E281" s="35" t="str">
        <f t="shared" si="24"/>
        <v>Dezembro</v>
      </c>
      <c r="F281" s="25" t="s">
        <v>300</v>
      </c>
      <c r="G281" s="27">
        <v>5</v>
      </c>
      <c r="H281" s="30" t="s">
        <v>298</v>
      </c>
      <c r="I281" s="25" t="s">
        <v>301</v>
      </c>
      <c r="J281" s="27" t="s">
        <v>283</v>
      </c>
      <c r="K281" s="25" t="s">
        <v>301</v>
      </c>
      <c r="L281" s="27">
        <v>0</v>
      </c>
      <c r="M281" s="27">
        <v>0</v>
      </c>
      <c r="N281" s="27">
        <v>5</v>
      </c>
      <c r="O281" s="41" t="str">
        <f t="shared" si="20"/>
        <v/>
      </c>
      <c r="P281" s="39" t="str">
        <f t="shared" si="21"/>
        <v/>
      </c>
      <c r="Q281" s="41" t="str">
        <f t="shared" si="22"/>
        <v/>
      </c>
      <c r="R281" s="39" t="str">
        <f t="shared" si="23"/>
        <v/>
      </c>
    </row>
    <row r="282" spans="1:18" ht="16.5" customHeight="1">
      <c r="A282" s="24">
        <v>3511</v>
      </c>
      <c r="B282" s="25" t="s">
        <v>271</v>
      </c>
      <c r="C282" s="25" t="s">
        <v>1</v>
      </c>
      <c r="D282" s="26">
        <v>45628</v>
      </c>
      <c r="E282" s="34" t="str">
        <f t="shared" si="24"/>
        <v>Dezembro</v>
      </c>
      <c r="F282" s="25" t="s">
        <v>301</v>
      </c>
      <c r="G282" s="28">
        <v>15</v>
      </c>
      <c r="H282" s="25" t="s">
        <v>297</v>
      </c>
      <c r="I282" s="25" t="s">
        <v>300</v>
      </c>
      <c r="J282" s="28">
        <v>30</v>
      </c>
      <c r="K282" s="25" t="s">
        <v>300</v>
      </c>
      <c r="L282" s="28">
        <v>20</v>
      </c>
      <c r="M282" s="28">
        <v>15</v>
      </c>
      <c r="N282" s="28">
        <v>50</v>
      </c>
      <c r="O282" s="41">
        <f t="shared" si="20"/>
        <v>1</v>
      </c>
      <c r="P282" s="39">
        <f t="shared" si="21"/>
        <v>30</v>
      </c>
      <c r="Q282" s="41">
        <f t="shared" si="22"/>
        <v>1</v>
      </c>
      <c r="R282" s="39">
        <f t="shared" si="23"/>
        <v>20</v>
      </c>
    </row>
    <row r="283" spans="1:18" ht="16.5" customHeight="1">
      <c r="A283" s="29">
        <v>3512</v>
      </c>
      <c r="B283" s="30" t="s">
        <v>272</v>
      </c>
      <c r="C283" s="30" t="s">
        <v>5</v>
      </c>
      <c r="D283" s="31">
        <v>45629</v>
      </c>
      <c r="E283" s="35" t="str">
        <f t="shared" si="24"/>
        <v>Dezembro</v>
      </c>
      <c r="F283" s="25" t="s">
        <v>300</v>
      </c>
      <c r="G283" s="27">
        <v>10</v>
      </c>
      <c r="H283" s="30" t="s">
        <v>299</v>
      </c>
      <c r="I283" s="25" t="s">
        <v>301</v>
      </c>
      <c r="J283" s="27" t="s">
        <v>283</v>
      </c>
      <c r="K283" s="25" t="s">
        <v>300</v>
      </c>
      <c r="L283" s="27">
        <v>20</v>
      </c>
      <c r="M283" s="27">
        <v>15</v>
      </c>
      <c r="N283" s="27">
        <v>15</v>
      </c>
      <c r="O283" s="41" t="str">
        <f t="shared" si="20"/>
        <v/>
      </c>
      <c r="P283" s="39" t="str">
        <f t="shared" si="21"/>
        <v/>
      </c>
      <c r="Q283" s="41">
        <f t="shared" si="22"/>
        <v>1</v>
      </c>
      <c r="R283" s="39">
        <f t="shared" si="23"/>
        <v>20</v>
      </c>
    </row>
    <row r="284" spans="1:18" ht="16.5" customHeight="1">
      <c r="A284" s="29">
        <v>3513</v>
      </c>
      <c r="B284" s="30" t="s">
        <v>273</v>
      </c>
      <c r="C284" s="30" t="s">
        <v>3</v>
      </c>
      <c r="D284" s="31">
        <v>45630</v>
      </c>
      <c r="E284" s="35" t="str">
        <f t="shared" si="24"/>
        <v>Dezembro</v>
      </c>
      <c r="F284" s="25" t="s">
        <v>301</v>
      </c>
      <c r="G284" s="27">
        <v>5</v>
      </c>
      <c r="H284" s="30" t="s">
        <v>297</v>
      </c>
      <c r="I284" s="25" t="s">
        <v>301</v>
      </c>
      <c r="J284" s="27" t="s">
        <v>283</v>
      </c>
      <c r="K284" s="25" t="s">
        <v>301</v>
      </c>
      <c r="L284" s="27">
        <v>0</v>
      </c>
      <c r="M284" s="27">
        <v>1</v>
      </c>
      <c r="N284" s="27">
        <v>4</v>
      </c>
      <c r="O284" s="41" t="str">
        <f t="shared" si="20"/>
        <v/>
      </c>
      <c r="P284" s="39" t="str">
        <f t="shared" si="21"/>
        <v/>
      </c>
      <c r="Q284" s="41" t="str">
        <f t="shared" si="22"/>
        <v/>
      </c>
      <c r="R284" s="39" t="str">
        <f t="shared" si="23"/>
        <v/>
      </c>
    </row>
    <row r="285" spans="1:18" ht="16.5" customHeight="1">
      <c r="A285" s="24">
        <v>3514</v>
      </c>
      <c r="B285" s="25" t="s">
        <v>274</v>
      </c>
      <c r="C285" s="25" t="s">
        <v>1</v>
      </c>
      <c r="D285" s="26">
        <v>45631</v>
      </c>
      <c r="E285" s="34" t="str">
        <f t="shared" si="24"/>
        <v>Dezembro</v>
      </c>
      <c r="F285" s="25" t="s">
        <v>300</v>
      </c>
      <c r="G285" s="28">
        <v>15</v>
      </c>
      <c r="H285" s="25" t="s">
        <v>298</v>
      </c>
      <c r="I285" s="25" t="s">
        <v>300</v>
      </c>
      <c r="J285" s="28">
        <v>30</v>
      </c>
      <c r="K285" s="25" t="s">
        <v>300</v>
      </c>
      <c r="L285" s="28">
        <v>20</v>
      </c>
      <c r="M285" s="28">
        <v>7</v>
      </c>
      <c r="N285" s="28">
        <v>58</v>
      </c>
      <c r="O285" s="41">
        <f t="shared" si="20"/>
        <v>1</v>
      </c>
      <c r="P285" s="39">
        <f t="shared" si="21"/>
        <v>30</v>
      </c>
      <c r="Q285" s="41">
        <f t="shared" si="22"/>
        <v>1</v>
      </c>
      <c r="R285" s="39">
        <f t="shared" si="23"/>
        <v>20</v>
      </c>
    </row>
    <row r="286" spans="1:18" ht="16.5" customHeight="1">
      <c r="A286" s="29">
        <v>3515</v>
      </c>
      <c r="B286" s="30" t="s">
        <v>133</v>
      </c>
      <c r="C286" s="30" t="s">
        <v>5</v>
      </c>
      <c r="D286" s="31">
        <v>45632</v>
      </c>
      <c r="E286" s="35" t="str">
        <f t="shared" si="24"/>
        <v>Dezembro</v>
      </c>
      <c r="F286" s="25" t="s">
        <v>301</v>
      </c>
      <c r="G286" s="27">
        <v>10</v>
      </c>
      <c r="H286" s="30" t="s">
        <v>297</v>
      </c>
      <c r="I286" s="25" t="s">
        <v>301</v>
      </c>
      <c r="J286" s="27" t="s">
        <v>283</v>
      </c>
      <c r="K286" s="25" t="s">
        <v>300</v>
      </c>
      <c r="L286" s="27">
        <v>20</v>
      </c>
      <c r="M286" s="27">
        <v>10</v>
      </c>
      <c r="N286" s="27">
        <v>20</v>
      </c>
      <c r="O286" s="41" t="str">
        <f t="shared" si="20"/>
        <v/>
      </c>
      <c r="P286" s="39" t="str">
        <f t="shared" si="21"/>
        <v/>
      </c>
      <c r="Q286" s="41">
        <f t="shared" si="22"/>
        <v>1</v>
      </c>
      <c r="R286" s="39">
        <f t="shared" si="23"/>
        <v>20</v>
      </c>
    </row>
    <row r="287" spans="1:18" ht="16.5" customHeight="1">
      <c r="A287" s="29">
        <v>3516</v>
      </c>
      <c r="B287" s="30" t="s">
        <v>134</v>
      </c>
      <c r="C287" s="30" t="s">
        <v>3</v>
      </c>
      <c r="D287" s="31">
        <v>45633</v>
      </c>
      <c r="E287" s="35" t="str">
        <f t="shared" si="24"/>
        <v>Dezembro</v>
      </c>
      <c r="F287" s="25" t="s">
        <v>300</v>
      </c>
      <c r="G287" s="27">
        <v>5</v>
      </c>
      <c r="H287" s="30" t="s">
        <v>299</v>
      </c>
      <c r="I287" s="25" t="s">
        <v>301</v>
      </c>
      <c r="J287" s="27" t="s">
        <v>283</v>
      </c>
      <c r="K287" s="25" t="s">
        <v>301</v>
      </c>
      <c r="L287" s="27">
        <v>0</v>
      </c>
      <c r="M287" s="27">
        <v>0</v>
      </c>
      <c r="N287" s="27">
        <v>5</v>
      </c>
      <c r="O287" s="41" t="str">
        <f t="shared" si="20"/>
        <v/>
      </c>
      <c r="P287" s="39" t="str">
        <f t="shared" si="21"/>
        <v/>
      </c>
      <c r="Q287" s="41" t="str">
        <f t="shared" si="22"/>
        <v/>
      </c>
      <c r="R287" s="39" t="str">
        <f t="shared" si="23"/>
        <v/>
      </c>
    </row>
    <row r="288" spans="1:18" ht="16.5" customHeight="1">
      <c r="A288" s="24">
        <v>3517</v>
      </c>
      <c r="B288" s="25" t="s">
        <v>184</v>
      </c>
      <c r="C288" s="25" t="s">
        <v>1</v>
      </c>
      <c r="D288" s="26">
        <v>45634</v>
      </c>
      <c r="E288" s="34" t="str">
        <f t="shared" si="24"/>
        <v>Dezembro</v>
      </c>
      <c r="F288" s="25" t="s">
        <v>301</v>
      </c>
      <c r="G288" s="28">
        <v>15</v>
      </c>
      <c r="H288" s="25" t="s">
        <v>297</v>
      </c>
      <c r="I288" s="25" t="s">
        <v>300</v>
      </c>
      <c r="J288" s="28">
        <v>30</v>
      </c>
      <c r="K288" s="25" t="s">
        <v>300</v>
      </c>
      <c r="L288" s="28">
        <v>20</v>
      </c>
      <c r="M288" s="28">
        <v>20</v>
      </c>
      <c r="N288" s="28">
        <v>45</v>
      </c>
      <c r="O288" s="41">
        <f t="shared" si="20"/>
        <v>1</v>
      </c>
      <c r="P288" s="39">
        <f t="shared" si="21"/>
        <v>30</v>
      </c>
      <c r="Q288" s="41">
        <f t="shared" si="22"/>
        <v>1</v>
      </c>
      <c r="R288" s="39">
        <f t="shared" si="23"/>
        <v>20</v>
      </c>
    </row>
    <row r="289" spans="1:18" ht="16.5" customHeight="1">
      <c r="A289" s="29">
        <v>3518</v>
      </c>
      <c r="B289" s="30" t="s">
        <v>275</v>
      </c>
      <c r="C289" s="30" t="s">
        <v>5</v>
      </c>
      <c r="D289" s="31">
        <v>45635</v>
      </c>
      <c r="E289" s="35" t="str">
        <f t="shared" si="24"/>
        <v>Dezembro</v>
      </c>
      <c r="F289" s="25" t="s">
        <v>300</v>
      </c>
      <c r="G289" s="27">
        <v>10</v>
      </c>
      <c r="H289" s="30" t="s">
        <v>298</v>
      </c>
      <c r="I289" s="25" t="s">
        <v>301</v>
      </c>
      <c r="J289" s="27" t="s">
        <v>283</v>
      </c>
      <c r="K289" s="25" t="s">
        <v>300</v>
      </c>
      <c r="L289" s="27">
        <v>20</v>
      </c>
      <c r="M289" s="27">
        <v>12</v>
      </c>
      <c r="N289" s="27">
        <v>18</v>
      </c>
      <c r="O289" s="41" t="str">
        <f t="shared" si="20"/>
        <v/>
      </c>
      <c r="P289" s="39" t="str">
        <f t="shared" si="21"/>
        <v/>
      </c>
      <c r="Q289" s="41">
        <f t="shared" si="22"/>
        <v>1</v>
      </c>
      <c r="R289" s="39">
        <f t="shared" si="23"/>
        <v>20</v>
      </c>
    </row>
    <row r="290" spans="1:18" ht="16.5" customHeight="1">
      <c r="A290" s="29">
        <v>3519</v>
      </c>
      <c r="B290" s="30" t="s">
        <v>276</v>
      </c>
      <c r="C290" s="30" t="s">
        <v>3</v>
      </c>
      <c r="D290" s="31">
        <v>45636</v>
      </c>
      <c r="E290" s="35" t="str">
        <f t="shared" si="24"/>
        <v>Dezembro</v>
      </c>
      <c r="F290" s="25" t="s">
        <v>301</v>
      </c>
      <c r="G290" s="27">
        <v>5</v>
      </c>
      <c r="H290" s="30" t="s">
        <v>297</v>
      </c>
      <c r="I290" s="25" t="s">
        <v>301</v>
      </c>
      <c r="J290" s="27" t="s">
        <v>283</v>
      </c>
      <c r="K290" s="25" t="s">
        <v>301</v>
      </c>
      <c r="L290" s="27">
        <v>0</v>
      </c>
      <c r="M290" s="27">
        <v>2</v>
      </c>
      <c r="N290" s="27">
        <v>3</v>
      </c>
      <c r="O290" s="41" t="str">
        <f t="shared" si="20"/>
        <v/>
      </c>
      <c r="P290" s="39" t="str">
        <f t="shared" si="21"/>
        <v/>
      </c>
      <c r="Q290" s="41" t="str">
        <f t="shared" si="22"/>
        <v/>
      </c>
      <c r="R290" s="39" t="str">
        <f t="shared" si="23"/>
        <v/>
      </c>
    </row>
    <row r="291" spans="1:18" ht="16.5" customHeight="1">
      <c r="A291" s="24">
        <v>3520</v>
      </c>
      <c r="B291" s="25" t="s">
        <v>277</v>
      </c>
      <c r="C291" s="25" t="s">
        <v>1</v>
      </c>
      <c r="D291" s="26">
        <v>45637</v>
      </c>
      <c r="E291" s="34" t="str">
        <f t="shared" si="24"/>
        <v>Dezembro</v>
      </c>
      <c r="F291" s="25" t="s">
        <v>300</v>
      </c>
      <c r="G291" s="28">
        <v>15</v>
      </c>
      <c r="H291" s="25" t="s">
        <v>299</v>
      </c>
      <c r="I291" s="25" t="s">
        <v>300</v>
      </c>
      <c r="J291" s="28">
        <v>30</v>
      </c>
      <c r="K291" s="25" t="s">
        <v>300</v>
      </c>
      <c r="L291" s="28">
        <v>20</v>
      </c>
      <c r="M291" s="28">
        <v>5</v>
      </c>
      <c r="N291" s="28">
        <v>60</v>
      </c>
      <c r="O291" s="41">
        <f t="shared" si="20"/>
        <v>1</v>
      </c>
      <c r="P291" s="39">
        <f t="shared" si="21"/>
        <v>30</v>
      </c>
      <c r="Q291" s="41">
        <f t="shared" si="22"/>
        <v>1</v>
      </c>
      <c r="R291" s="39">
        <f t="shared" si="23"/>
        <v>20</v>
      </c>
    </row>
    <row r="292" spans="1:18" ht="16.5" customHeight="1">
      <c r="A292" s="29">
        <v>3521</v>
      </c>
      <c r="B292" s="30" t="s">
        <v>278</v>
      </c>
      <c r="C292" s="30" t="s">
        <v>5</v>
      </c>
      <c r="D292" s="31">
        <v>45638</v>
      </c>
      <c r="E292" s="35" t="str">
        <f t="shared" si="24"/>
        <v>Dezembro</v>
      </c>
      <c r="F292" s="25" t="s">
        <v>301</v>
      </c>
      <c r="G292" s="27">
        <v>10</v>
      </c>
      <c r="H292" s="30" t="s">
        <v>297</v>
      </c>
      <c r="I292" s="25" t="s">
        <v>301</v>
      </c>
      <c r="J292" s="27" t="s">
        <v>283</v>
      </c>
      <c r="K292" s="25" t="s">
        <v>300</v>
      </c>
      <c r="L292" s="27">
        <v>20</v>
      </c>
      <c r="M292" s="27">
        <v>10</v>
      </c>
      <c r="N292" s="27">
        <v>20</v>
      </c>
      <c r="O292" s="41" t="str">
        <f t="shared" si="20"/>
        <v/>
      </c>
      <c r="P292" s="39" t="str">
        <f t="shared" si="21"/>
        <v/>
      </c>
      <c r="Q292" s="41">
        <f t="shared" si="22"/>
        <v>1</v>
      </c>
      <c r="R292" s="39">
        <f t="shared" si="23"/>
        <v>20</v>
      </c>
    </row>
    <row r="293" spans="1:18" ht="16.5" customHeight="1">
      <c r="A293" s="29">
        <v>3522</v>
      </c>
      <c r="B293" s="30" t="s">
        <v>279</v>
      </c>
      <c r="C293" s="30" t="s">
        <v>3</v>
      </c>
      <c r="D293" s="31">
        <v>45639</v>
      </c>
      <c r="E293" s="35" t="str">
        <f t="shared" si="24"/>
        <v>Dezembro</v>
      </c>
      <c r="F293" s="25" t="s">
        <v>300</v>
      </c>
      <c r="G293" s="27">
        <v>5</v>
      </c>
      <c r="H293" s="30" t="s">
        <v>298</v>
      </c>
      <c r="I293" s="25" t="s">
        <v>301</v>
      </c>
      <c r="J293" s="27" t="s">
        <v>283</v>
      </c>
      <c r="K293" s="25" t="s">
        <v>301</v>
      </c>
      <c r="L293" s="27">
        <v>0</v>
      </c>
      <c r="M293" s="27">
        <v>0</v>
      </c>
      <c r="N293" s="27">
        <v>5</v>
      </c>
      <c r="O293" s="41" t="str">
        <f t="shared" si="20"/>
        <v/>
      </c>
      <c r="P293" s="39" t="str">
        <f t="shared" si="21"/>
        <v/>
      </c>
      <c r="Q293" s="41" t="str">
        <f t="shared" si="22"/>
        <v/>
      </c>
      <c r="R293" s="39" t="str">
        <f t="shared" si="23"/>
        <v/>
      </c>
    </row>
    <row r="294" spans="1:18" ht="16.5" customHeight="1">
      <c r="A294" s="24">
        <v>3523</v>
      </c>
      <c r="B294" s="25" t="s">
        <v>280</v>
      </c>
      <c r="C294" s="25" t="s">
        <v>1</v>
      </c>
      <c r="D294" s="26">
        <v>45640</v>
      </c>
      <c r="E294" s="34" t="str">
        <f t="shared" si="24"/>
        <v>Dezembro</v>
      </c>
      <c r="F294" s="25" t="s">
        <v>301</v>
      </c>
      <c r="G294" s="28">
        <v>15</v>
      </c>
      <c r="H294" s="25" t="s">
        <v>297</v>
      </c>
      <c r="I294" s="25" t="s">
        <v>300</v>
      </c>
      <c r="J294" s="28">
        <v>30</v>
      </c>
      <c r="K294" s="25" t="s">
        <v>300</v>
      </c>
      <c r="L294" s="28">
        <v>20</v>
      </c>
      <c r="M294" s="28">
        <v>3</v>
      </c>
      <c r="N294" s="28">
        <v>62</v>
      </c>
      <c r="O294" s="41">
        <f t="shared" si="20"/>
        <v>1</v>
      </c>
      <c r="P294" s="39">
        <f t="shared" si="21"/>
        <v>30</v>
      </c>
      <c r="Q294" s="41">
        <f t="shared" si="22"/>
        <v>1</v>
      </c>
      <c r="R294" s="39">
        <f t="shared" si="23"/>
        <v>20</v>
      </c>
    </row>
    <row r="295" spans="1:18" ht="16.5" customHeight="1">
      <c r="A295" s="29">
        <v>3524</v>
      </c>
      <c r="B295" s="30" t="s">
        <v>281</v>
      </c>
      <c r="C295" s="30" t="s">
        <v>5</v>
      </c>
      <c r="D295" s="31">
        <v>45641</v>
      </c>
      <c r="E295" s="35" t="str">
        <f t="shared" si="24"/>
        <v>Dezembro</v>
      </c>
      <c r="F295" s="25" t="s">
        <v>300</v>
      </c>
      <c r="G295" s="27">
        <v>10</v>
      </c>
      <c r="H295" s="30" t="s">
        <v>299</v>
      </c>
      <c r="I295" s="25" t="s">
        <v>301</v>
      </c>
      <c r="J295" s="27" t="s">
        <v>283</v>
      </c>
      <c r="K295" s="25" t="s">
        <v>300</v>
      </c>
      <c r="L295" s="27">
        <v>20</v>
      </c>
      <c r="M295" s="27">
        <v>15</v>
      </c>
      <c r="N295" s="27">
        <v>15</v>
      </c>
      <c r="O295" s="41" t="str">
        <f t="shared" si="20"/>
        <v/>
      </c>
      <c r="P295" s="39" t="str">
        <f t="shared" si="21"/>
        <v/>
      </c>
      <c r="Q295" s="41">
        <f t="shared" si="22"/>
        <v>1</v>
      </c>
      <c r="R295" s="39">
        <f t="shared" si="23"/>
        <v>20</v>
      </c>
    </row>
    <row r="296" spans="1:18" ht="16.5" customHeight="1">
      <c r="A296" s="29">
        <v>3525</v>
      </c>
      <c r="B296" s="30" t="s">
        <v>282</v>
      </c>
      <c r="C296" s="30" t="s">
        <v>3</v>
      </c>
      <c r="D296" s="31">
        <v>45642</v>
      </c>
      <c r="E296" s="35" t="str">
        <f t="shared" si="24"/>
        <v>Dezembro</v>
      </c>
      <c r="F296" s="25" t="s">
        <v>301</v>
      </c>
      <c r="G296" s="27">
        <v>5</v>
      </c>
      <c r="H296" s="30" t="s">
        <v>297</v>
      </c>
      <c r="I296" s="25" t="s">
        <v>301</v>
      </c>
      <c r="J296" s="27" t="s">
        <v>283</v>
      </c>
      <c r="K296" s="25" t="s">
        <v>301</v>
      </c>
      <c r="L296" s="27">
        <v>0</v>
      </c>
      <c r="M296" s="27">
        <v>1</v>
      </c>
      <c r="N296" s="27">
        <v>4</v>
      </c>
      <c r="O296" s="41" t="str">
        <f t="shared" si="20"/>
        <v/>
      </c>
      <c r="P296" s="39" t="str">
        <f t="shared" si="21"/>
        <v/>
      </c>
      <c r="Q296" s="41" t="str">
        <f t="shared" si="22"/>
        <v/>
      </c>
      <c r="R296" s="39" t="str">
        <f t="shared" si="23"/>
        <v/>
      </c>
    </row>
  </sheetData>
  <sheetProtection password="C9EC" sheet="1" objects="1" scenarios="1"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H28"/>
  <sheetViews>
    <sheetView showGridLines="0" zoomScale="80" zoomScaleNormal="80" workbookViewId="0">
      <selection activeCell="C31" sqref="C31"/>
    </sheetView>
  </sheetViews>
  <sheetFormatPr defaultRowHeight="14.25"/>
  <cols>
    <col min="1" max="1" width="18.25" customWidth="1"/>
    <col min="2" max="2" width="27.375" customWidth="1"/>
    <col min="4" max="4" width="18.25" customWidth="1"/>
    <col min="5" max="5" width="27.375" customWidth="1"/>
    <col min="6" max="6" width="20.5" customWidth="1"/>
    <col min="7" max="7" width="18.25" customWidth="1"/>
    <col min="8" max="8" width="18.625" customWidth="1"/>
    <col min="9" max="9" width="8.875" customWidth="1"/>
    <col min="10" max="10" width="5.25" customWidth="1"/>
    <col min="11" max="11" width="10.75" customWidth="1"/>
    <col min="12" max="102" width="4.875" customWidth="1"/>
    <col min="103" max="103" width="10.75" bestFit="1" customWidth="1"/>
  </cols>
  <sheetData>
    <row r="2" spans="1:8" ht="15">
      <c r="A2" s="37" t="s">
        <v>306</v>
      </c>
      <c r="B2" s="36" t="s">
        <v>307</v>
      </c>
      <c r="D2" s="36" t="s">
        <v>331</v>
      </c>
      <c r="G2" s="36" t="s">
        <v>308</v>
      </c>
    </row>
    <row r="3" spans="1:8" ht="15">
      <c r="B3" s="38">
        <f>SUM($B$8:$B$10)</f>
        <v>295</v>
      </c>
      <c r="D3" s="42">
        <f>SUM($H$8:$H$10)</f>
        <v>7633</v>
      </c>
      <c r="G3" s="46">
        <f>COUNTIF($A$16:$B$17,"Sim") / COUNTA($B$16:$B$17)</f>
        <v>0.5</v>
      </c>
    </row>
    <row r="4" spans="1:8">
      <c r="G4" s="45"/>
    </row>
    <row r="6" spans="1:8" ht="15">
      <c r="A6" s="36" t="s">
        <v>327</v>
      </c>
      <c r="D6" s="36" t="s">
        <v>329</v>
      </c>
      <c r="G6" s="36" t="s">
        <v>328</v>
      </c>
    </row>
    <row r="7" spans="1:8">
      <c r="A7" s="32" t="s">
        <v>302</v>
      </c>
      <c r="B7" t="s">
        <v>304</v>
      </c>
      <c r="D7" s="32" t="s">
        <v>302</v>
      </c>
      <c r="E7" t="s">
        <v>304</v>
      </c>
      <c r="G7" s="32" t="s">
        <v>302</v>
      </c>
      <c r="H7" t="s">
        <v>303</v>
      </c>
    </row>
    <row r="8" spans="1:8">
      <c r="A8" s="3" t="s">
        <v>3</v>
      </c>
      <c r="B8" s="33">
        <v>101</v>
      </c>
      <c r="D8" s="3" t="s">
        <v>299</v>
      </c>
      <c r="E8" s="33">
        <v>71</v>
      </c>
      <c r="G8" s="3" t="s">
        <v>1</v>
      </c>
      <c r="H8" s="47">
        <v>5388</v>
      </c>
    </row>
    <row r="9" spans="1:8">
      <c r="A9" s="3" t="s">
        <v>5</v>
      </c>
      <c r="B9" s="33">
        <v>96</v>
      </c>
      <c r="D9" s="3" t="s">
        <v>297</v>
      </c>
      <c r="E9" s="33">
        <v>139</v>
      </c>
      <c r="G9" s="3" t="s">
        <v>5</v>
      </c>
      <c r="H9" s="47">
        <v>1801</v>
      </c>
    </row>
    <row r="10" spans="1:8">
      <c r="A10" s="3" t="s">
        <v>1</v>
      </c>
      <c r="B10" s="33">
        <v>98</v>
      </c>
      <c r="D10" s="3" t="s">
        <v>298</v>
      </c>
      <c r="E10" s="33">
        <v>85</v>
      </c>
      <c r="G10" s="3" t="s">
        <v>3</v>
      </c>
      <c r="H10" s="47">
        <v>444</v>
      </c>
    </row>
    <row r="14" spans="1:8" ht="15">
      <c r="A14" s="36" t="s">
        <v>308</v>
      </c>
      <c r="D14" s="36" t="s">
        <v>330</v>
      </c>
    </row>
    <row r="15" spans="1:8">
      <c r="A15" s="32" t="s">
        <v>302</v>
      </c>
      <c r="B15" t="s">
        <v>304</v>
      </c>
      <c r="E15" s="32" t="s">
        <v>332</v>
      </c>
    </row>
    <row r="16" spans="1:8">
      <c r="A16" s="3" t="s">
        <v>301</v>
      </c>
      <c r="B16" s="33">
        <v>147</v>
      </c>
      <c r="D16" s="32" t="s">
        <v>302</v>
      </c>
      <c r="E16" t="s">
        <v>324</v>
      </c>
      <c r="F16" t="s">
        <v>323</v>
      </c>
      <c r="G16" t="s">
        <v>325</v>
      </c>
      <c r="H16" t="s">
        <v>326</v>
      </c>
    </row>
    <row r="17" spans="1:8">
      <c r="A17" s="3" t="s">
        <v>300</v>
      </c>
      <c r="B17" s="33">
        <v>148</v>
      </c>
      <c r="D17" s="3" t="s">
        <v>311</v>
      </c>
      <c r="E17" s="48">
        <v>30</v>
      </c>
      <c r="F17" s="48">
        <v>20</v>
      </c>
      <c r="G17" s="33">
        <v>1</v>
      </c>
      <c r="H17" s="33">
        <v>1</v>
      </c>
    </row>
    <row r="18" spans="1:8">
      <c r="D18" s="3" t="s">
        <v>312</v>
      </c>
      <c r="E18" s="48">
        <v>30</v>
      </c>
      <c r="F18" s="48">
        <v>40</v>
      </c>
      <c r="G18" s="33">
        <v>1</v>
      </c>
      <c r="H18" s="33">
        <v>2</v>
      </c>
    </row>
    <row r="19" spans="1:8">
      <c r="D19" s="3" t="s">
        <v>313</v>
      </c>
      <c r="E19" s="48">
        <v>300</v>
      </c>
      <c r="F19" s="48">
        <v>400</v>
      </c>
      <c r="G19" s="33">
        <v>10</v>
      </c>
      <c r="H19" s="33">
        <v>20</v>
      </c>
    </row>
    <row r="20" spans="1:8">
      <c r="D20" s="3" t="s">
        <v>314</v>
      </c>
      <c r="E20" s="48">
        <v>300</v>
      </c>
      <c r="F20" s="48">
        <v>400</v>
      </c>
      <c r="G20" s="33">
        <v>10</v>
      </c>
      <c r="H20" s="33">
        <v>20</v>
      </c>
    </row>
    <row r="21" spans="1:8">
      <c r="D21" s="3" t="s">
        <v>315</v>
      </c>
      <c r="E21" s="48">
        <v>300</v>
      </c>
      <c r="F21" s="48">
        <v>400</v>
      </c>
      <c r="G21" s="33">
        <v>10</v>
      </c>
      <c r="H21" s="33">
        <v>20</v>
      </c>
    </row>
    <row r="22" spans="1:8">
      <c r="D22" s="3" t="s">
        <v>316</v>
      </c>
      <c r="E22" s="48">
        <v>300</v>
      </c>
      <c r="F22" s="48">
        <v>400</v>
      </c>
      <c r="G22" s="33">
        <v>10</v>
      </c>
      <c r="H22" s="33">
        <v>20</v>
      </c>
    </row>
    <row r="23" spans="1:8">
      <c r="D23" s="3" t="s">
        <v>317</v>
      </c>
      <c r="E23" s="48">
        <v>300</v>
      </c>
      <c r="F23" s="48">
        <v>400</v>
      </c>
      <c r="G23" s="33">
        <v>10</v>
      </c>
      <c r="H23" s="33">
        <v>20</v>
      </c>
    </row>
    <row r="24" spans="1:8">
      <c r="D24" s="3" t="s">
        <v>318</v>
      </c>
      <c r="E24" s="48">
        <v>300</v>
      </c>
      <c r="F24" s="48">
        <v>400</v>
      </c>
      <c r="G24" s="33">
        <v>10</v>
      </c>
      <c r="H24" s="33">
        <v>20</v>
      </c>
    </row>
    <row r="25" spans="1:8">
      <c r="D25" s="3" t="s">
        <v>319</v>
      </c>
      <c r="E25" s="48">
        <v>300</v>
      </c>
      <c r="F25" s="48">
        <v>400</v>
      </c>
      <c r="G25" s="33">
        <v>10</v>
      </c>
      <c r="H25" s="33">
        <v>20</v>
      </c>
    </row>
    <row r="26" spans="1:8">
      <c r="D26" s="3" t="s">
        <v>320</v>
      </c>
      <c r="E26" s="48">
        <v>330</v>
      </c>
      <c r="F26" s="48">
        <v>420</v>
      </c>
      <c r="G26" s="33">
        <v>11</v>
      </c>
      <c r="H26" s="33">
        <v>21</v>
      </c>
    </row>
    <row r="27" spans="1:8">
      <c r="D27" s="3" t="s">
        <v>321</v>
      </c>
      <c r="E27" s="48">
        <v>300</v>
      </c>
      <c r="F27" s="48">
        <v>400</v>
      </c>
      <c r="G27" s="33">
        <v>10</v>
      </c>
      <c r="H27" s="33">
        <v>20</v>
      </c>
    </row>
    <row r="28" spans="1:8">
      <c r="D28" s="3" t="s">
        <v>322</v>
      </c>
      <c r="E28" s="48">
        <v>150</v>
      </c>
      <c r="F28" s="48">
        <v>200</v>
      </c>
      <c r="G28" s="33">
        <v>5</v>
      </c>
      <c r="H28" s="33">
        <v>10</v>
      </c>
    </row>
  </sheetData>
  <sheetProtection password="C9EC" sheet="1" objects="1" scenarios="1" autoFilter="0" pivotTables="0"/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B55"/>
  <sheetViews>
    <sheetView tabSelected="1" topLeftCell="A13" zoomScale="67" zoomScaleNormal="67" workbookViewId="0">
      <selection activeCell="Z42" sqref="Z42"/>
    </sheetView>
  </sheetViews>
  <sheetFormatPr defaultRowHeight="14.25"/>
  <sheetData>
    <row r="1" spans="1:2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4"/>
    </row>
    <row r="2" spans="1:2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4"/>
    </row>
    <row r="3" spans="1:2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4"/>
    </row>
    <row r="4" spans="1:2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4"/>
    </row>
    <row r="5" spans="1:2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4"/>
    </row>
    <row r="6" spans="1:2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4"/>
    </row>
    <row r="7" spans="1:28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4"/>
    </row>
    <row r="8" spans="1:2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4"/>
    </row>
    <row r="9" spans="1:2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4"/>
    </row>
    <row r="10" spans="1:2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4"/>
    </row>
    <row r="11" spans="1:2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4"/>
    </row>
    <row r="12" spans="1:2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/>
    </row>
    <row r="13" spans="1:2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4"/>
    </row>
    <row r="14" spans="1:2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4"/>
    </row>
    <row r="15" spans="1:2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4"/>
    </row>
    <row r="16" spans="1:2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4"/>
    </row>
    <row r="17" spans="1:28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4"/>
    </row>
    <row r="18" spans="1:28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4"/>
    </row>
    <row r="19" spans="1:28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4"/>
    </row>
    <row r="20" spans="1:28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4"/>
    </row>
    <row r="21" spans="1:28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/>
    </row>
    <row r="22" spans="1:28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4"/>
    </row>
    <row r="23" spans="1:28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4"/>
    </row>
    <row r="24" spans="1:28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4"/>
    </row>
    <row r="25" spans="1:28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4"/>
    </row>
    <row r="26" spans="1:28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4"/>
    </row>
    <row r="27" spans="1:28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4"/>
    </row>
    <row r="28" spans="1:28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4"/>
    </row>
    <row r="29" spans="1:28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4"/>
    </row>
    <row r="30" spans="1:28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/>
    </row>
    <row r="31" spans="1:28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4"/>
    </row>
    <row r="32" spans="1:28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4"/>
    </row>
    <row r="33" spans="1:28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4"/>
    </row>
    <row r="34" spans="1:28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4"/>
    </row>
    <row r="35" spans="1:28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4"/>
    </row>
    <row r="36" spans="1:28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4"/>
    </row>
    <row r="37" spans="1:28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4"/>
    </row>
    <row r="38" spans="1:28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4"/>
    </row>
    <row r="39" spans="1:28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/>
    </row>
    <row r="40" spans="1:28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4"/>
    </row>
    <row r="41" spans="1:28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4"/>
    </row>
    <row r="42" spans="1:28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4"/>
    </row>
    <row r="43" spans="1:28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4"/>
    </row>
    <row r="44" spans="1:28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4"/>
    </row>
    <row r="45" spans="1:28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4"/>
    </row>
    <row r="46" spans="1:28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4"/>
    </row>
    <row r="47" spans="1:28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4"/>
    </row>
    <row r="48" spans="1:28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</row>
    <row r="49" spans="1:28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</row>
    <row r="50" spans="1:28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</row>
    <row r="51" spans="1:28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</row>
    <row r="52" spans="1:28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</row>
    <row r="53" spans="1:28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</row>
    <row r="54" spans="1:28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</row>
    <row r="55" spans="1:28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</row>
  </sheetData>
  <sheetProtection password="C9EC" sheet="1" objects="1" scenarios="1"/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showGridLines="0" showRowColHeaders="0" workbookViewId="0">
      <selection activeCell="B14" sqref="B14"/>
    </sheetView>
  </sheetViews>
  <sheetFormatPr defaultRowHeight="14.25"/>
  <sheetData/>
  <sheetProtection password="C9EC" sheet="1" objects="1" scenarios="1"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1b35d3-0456-4d6a-bc2f-da927e91d158">
      <Terms xmlns="http://schemas.microsoft.com/office/infopath/2007/PartnerControls"/>
    </lcf76f155ced4ddcb4097134ff3c332f>
    <TaxCatchAll xmlns="19483571-f922-4e8e-9c1c-26f0a225213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1E48B58A68BE64E9120D347E3E06B3A" ma:contentTypeVersion="19" ma:contentTypeDescription="Crie um novo documento." ma:contentTypeScope="" ma:versionID="2f90046ec77328b7f86417d2e03b3d33">
  <xsd:schema xmlns:xsd="http://www.w3.org/2001/XMLSchema" xmlns:xs="http://www.w3.org/2001/XMLSchema" xmlns:p="http://schemas.microsoft.com/office/2006/metadata/properties" xmlns:ns2="851b35d3-0456-4d6a-bc2f-da927e91d158" xmlns:ns3="19483571-f922-4e8e-9c1c-26f0a2252132" targetNamespace="http://schemas.microsoft.com/office/2006/metadata/properties" ma:root="true" ma:fieldsID="c815006ac2d4f05ee97fdd57e40d8e38" ns2:_="" ns3:_="">
    <xsd:import namespace="851b35d3-0456-4d6a-bc2f-da927e91d158"/>
    <xsd:import namespace="19483571-f922-4e8e-9c1c-26f0a22521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b35d3-0456-4d6a-bc2f-da927e91d1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44a7fbd4-9dae-4371-bb8c-f658cfc5cb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83571-f922-4e8e-9c1c-26f0a225213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4ca5b0e-bf34-4fb2-bc21-1657b419a556}" ma:internalName="TaxCatchAll" ma:showField="CatchAllData" ma:web="19483571-f922-4e8e-9c1c-26f0a225213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3B4D9D5-B351-46EB-A728-C3362FE437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3D529-BCD3-4ECD-9B2A-42924892FFCB}">
  <ds:schemaRefs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purl.org/dc/terms/"/>
    <ds:schemaRef ds:uri="http://schemas.microsoft.com/office/2006/metadata/properties"/>
    <ds:schemaRef ds:uri="851b35d3-0456-4d6a-bc2f-da927e91d158"/>
    <ds:schemaRef ds:uri="http://schemas.microsoft.com/office/infopath/2007/PartnerControls"/>
    <ds:schemaRef ds:uri="19483571-f922-4e8e-9c1c-26f0a2252132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2608D25-EC36-42FE-A1DC-F778995A67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b35d3-0456-4d6a-bc2f-da927e91d158"/>
    <ds:schemaRef ds:uri="19483571-f922-4e8e-9c1c-26f0a22521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Planilha_Original</vt:lpstr>
      <vt:lpstr>Análise</vt:lpstr>
      <vt:lpstr>Tabela_Dinâmica</vt:lpstr>
      <vt:lpstr>Dashboard</vt:lpstr>
      <vt:lpstr>Relatório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katy</cp:lastModifiedBy>
  <dcterms:created xsi:type="dcterms:W3CDTF">2024-12-19T13:13:10Z</dcterms:created>
  <dcterms:modified xsi:type="dcterms:W3CDTF">2025-12-04T17:24:04Z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0x01010001E48B58A68BE64E9120D347E3E06B3A</vt:lpwstr>
  </property>
</Properties>
</file>